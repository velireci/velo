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l List" sheetId="1" state="visible" r:id="rId3"/>
    <sheet name="Dashboard" sheetId="2" state="visible" r:id="rId4"/>
    <sheet name="Rejected" sheetId="3" state="visible" r:id="rId5"/>
  </sheets>
  <definedNames>
    <definedName function="false" hidden="true" localSheetId="0" name="_xlnm._FilterDatabase" vbProcedure="false">'Call List'!$A$1:$AF$44</definedName>
    <definedName function="false" hidden="true" localSheetId="2" name="_xlnm._FilterDatabase" vbProcedure="false">Rejected!$A$1:$E$356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<sst xmlns="http://schemas.openxmlformats.org/spreadsheetml/2006/main" count="1828" uniqueCount="1040">
  <si>
    <t xml:space="preserve">Owner Name</t>
  </si>
  <si>
    <t xml:space="preserve">Owner Role</t>
  </si>
  <si>
    <t xml:space="preserve">Owner Direct Line</t>
  </si>
  <si>
    <t xml:space="preserve">Owner Mailing</t>
  </si>
  <si>
    <t xml:space="preserve">Match Quality</t>
  </si>
  <si>
    <t xml:space="preserve">#</t>
  </si>
  <si>
    <t xml:space="preserve">Priority</t>
  </si>
  <si>
    <t xml:space="preserve">Business Name</t>
  </si>
  <si>
    <t xml:space="preserve">Category</t>
  </si>
  <si>
    <t xml:space="preserve">Business Phone</t>
  </si>
  <si>
    <t xml:space="preserve">Website Gap</t>
  </si>
  <si>
    <t xml:space="preserve">Website</t>
  </si>
  <si>
    <t xml:space="preserve">Site Platform</t>
  </si>
  <si>
    <t xml:space="preserve">Mobile OK</t>
  </si>
  <si>
    <t xml:space="preserve">Rating</t>
  </si>
  <si>
    <t xml:space="preserve">Reviews</t>
  </si>
  <si>
    <t xml:space="preserve">Neg %</t>
  </si>
  <si>
    <t xml:space="preserve">GBP Unclaimed</t>
  </si>
  <si>
    <t xml:space="preserve">Photos</t>
  </si>
  <si>
    <t xml:space="preserve">Neighborhood</t>
  </si>
  <si>
    <t xml:space="preserve">Street</t>
  </si>
  <si>
    <t xml:space="preserve">Zip</t>
  </si>
  <si>
    <t xml:space="preserve">GBP Link</t>
  </si>
  <si>
    <t xml:space="preserve">Call Status</t>
  </si>
  <si>
    <t xml:space="preserve">Attempts</t>
  </si>
  <si>
    <t xml:space="preserve">Last Called</t>
  </si>
  <si>
    <t xml:space="preserve">Spoke With</t>
  </si>
  <si>
    <t xml:space="preserve">Their Role</t>
  </si>
  <si>
    <t xml:space="preserve">Outcome</t>
  </si>
  <si>
    <t xml:space="preserve">Next Step</t>
  </si>
  <si>
    <t xml:space="preserve">Follow Up Date</t>
  </si>
  <si>
    <t xml:space="preserve">Notes</t>
  </si>
  <si>
    <t xml:space="preserve">West Wing</t>
  </si>
  <si>
    <t xml:space="preserve">Extended stay hotel</t>
  </si>
  <si>
    <t xml:space="preserve">(813) 559-8000</t>
  </si>
  <si>
    <t xml:space="preserve">OTA listing only</t>
  </si>
  <si>
    <t xml:space="preserve">https://rapidhotels.com/WestWing</t>
  </si>
  <si>
    <t xml:space="preserve">YES</t>
  </si>
  <si>
    <t xml:space="preserve">University Square</t>
  </si>
  <si>
    <t xml:space="preserve">2501 E Fowler Ave</t>
  </si>
  <si>
    <t xml:space="preserve">https://www.google.com/maps/search/?api=1&amp;query=West%20Wing&amp;query_place_id=ChIJU3whOajHwogRCcUPSkExvP8</t>
  </si>
  <si>
    <t xml:space="preserve">Not called</t>
  </si>
  <si>
    <t xml:space="preserve">Casa Loma Motel</t>
  </si>
  <si>
    <t xml:space="preserve">Hotel</t>
  </si>
  <si>
    <t xml:space="preserve">(813) 234-3871</t>
  </si>
  <si>
    <t xml:space="preserve">No website</t>
  </si>
  <si>
    <t xml:space="preserve">Old Seminole Heights</t>
  </si>
  <si>
    <t xml:space="preserve">6500 N Nebraska Ave</t>
  </si>
  <si>
    <t xml:space="preserve">https://www.google.com/maps/search/?api=1&amp;query=Casa%20Loma%20Motel&amp;query_place_id=ChIJAyxw8JjGwogR54BdEl0QeZQ</t>
  </si>
  <si>
    <t xml:space="preserve">Village Motel</t>
  </si>
  <si>
    <t xml:space="preserve">Motel</t>
  </si>
  <si>
    <t xml:space="preserve">(813) 626-6541</t>
  </si>
  <si>
    <t xml:space="preserve">Northeast Tampa</t>
  </si>
  <si>
    <t xml:space="preserve">4100 E Hillsborough Ave</t>
  </si>
  <si>
    <t xml:space="preserve">https://www.google.com/maps/search/?api=1&amp;query=Village%20Motel&amp;query_place_id=ChIJ2bgaYXXGwogR_K8nSHrztdg</t>
  </si>
  <si>
    <t xml:space="preserve">Oaks Motel</t>
  </si>
  <si>
    <t xml:space="preserve">(813) 229-1281</t>
  </si>
  <si>
    <t xml:space="preserve">Ybor City</t>
  </si>
  <si>
    <t xml:space="preserve">3801 N Nebraska Ave</t>
  </si>
  <si>
    <t xml:space="preserve">https://www.google.com/maps/search/?api=1&amp;query=Oaks%20Motel&amp;query_place_id=ChIJIYY5-D7EwogReop0NpHboOM</t>
  </si>
  <si>
    <t xml:space="preserve">El Rancho Motel</t>
  </si>
  <si>
    <t xml:space="preserve">(813) 232-6251</t>
  </si>
  <si>
    <t xml:space="preserve">7100 N Nebraska Ave</t>
  </si>
  <si>
    <t xml:space="preserve">https://www.google.com/maps/search/?api=1&amp;query=El%20Rancho%20Motel&amp;query_place_id=ChIJCSglsZfGwogRDnCt8H2jF3Q</t>
  </si>
  <si>
    <t xml:space="preserve">Harbor Lite Motel</t>
  </si>
  <si>
    <t xml:space="preserve">(813) 876-6215</t>
  </si>
  <si>
    <t xml:space="preserve">Oakford Park</t>
  </si>
  <si>
    <t xml:space="preserve">3301 W Kennedy Blvd</t>
  </si>
  <si>
    <t xml:space="preserve">https://www.google.com/maps/search/?api=1&amp;query=Harbor%20Lite%20Motel&amp;query_place_id=ChIJz2h7MA3DwogRFbWp6t4TlBs</t>
  </si>
  <si>
    <t xml:space="preserve">Mac's Motel</t>
  </si>
  <si>
    <t xml:space="preserve">(813) 238-3285</t>
  </si>
  <si>
    <t xml:space="preserve">5605 N Nebraska Ave</t>
  </si>
  <si>
    <t xml:space="preserve">https://www.google.com/maps/search/?api=1&amp;query=Mac's%20Motel&amp;query_place_id=ChIJp35-fiDEwogRJQsJJVAjkUc</t>
  </si>
  <si>
    <t xml:space="preserve">Swan Motel</t>
  </si>
  <si>
    <t xml:space="preserve">(813) 238-5707</t>
  </si>
  <si>
    <t xml:space="preserve">6407 N Nebraska Ave</t>
  </si>
  <si>
    <t xml:space="preserve">https://www.google.com/maps/search/?api=1&amp;query=Swan%20Motel&amp;query_place_id=ChIJVffc4ZjGwogRbD7Nxi2fYP0</t>
  </si>
  <si>
    <t xml:space="preserve">Alamo Motel</t>
  </si>
  <si>
    <t xml:space="preserve">(813) 238-0090</t>
  </si>
  <si>
    <t xml:space="preserve">6110 N Nebraska Ave</t>
  </si>
  <si>
    <t xml:space="preserve">https://www.google.com/maps/search/?api=1&amp;query=Alamo%20Motel&amp;query_place_id=ChIJ-1ElPZ_GwogRIIra3PbXH7s</t>
  </si>
  <si>
    <t xml:space="preserve">Sunset Inn at Busch Gardens</t>
  </si>
  <si>
    <t xml:space="preserve">Indoor lodging</t>
  </si>
  <si>
    <t xml:space="preserve">(813) 931-3313</t>
  </si>
  <si>
    <t xml:space="preserve">2106 E Busch Blvd</t>
  </si>
  <si>
    <t xml:space="preserve">https://www.google.com/maps/search/?api=1&amp;query=Sunset%20Inn%20at%20Busch%20Gardens&amp;query_place_id=ChIJv0mq2PnGwogRYhO6c71sSo0</t>
  </si>
  <si>
    <t xml:space="preserve">The Rex Motel</t>
  </si>
  <si>
    <t xml:space="preserve">(813) 874-8664</t>
  </si>
  <si>
    <t xml:space="preserve">Northwest Tampa</t>
  </si>
  <si>
    <t xml:space="preserve">5406 Felice Ave</t>
  </si>
  <si>
    <t xml:space="preserve">https://www.google.com/maps/search/?api=1&amp;query=The%20Rex%20Motel&amp;query_place_id=ChIJQ9GnwePDwogRYRfHRheweqA</t>
  </si>
  <si>
    <t xml:space="preserve">Garden View Motel</t>
  </si>
  <si>
    <t xml:space="preserve">(813) 933-3958</t>
  </si>
  <si>
    <t xml:space="preserve">2500 E Busch Blvd</t>
  </si>
  <si>
    <t xml:space="preserve">https://www.google.com/maps/search/?api=1&amp;query=Garden%20View%20Motel&amp;query_place_id=ChIJ7w8t8FfGwogR2TIfBJ0Q_pk</t>
  </si>
  <si>
    <t xml:space="preserve">Alaska Motel</t>
  </si>
  <si>
    <t xml:space="preserve">(813) 374-2155</t>
  </si>
  <si>
    <t xml:space="preserve">Southeast Seminole Heights</t>
  </si>
  <si>
    <t xml:space="preserve">1307 E Hillsborough Ave</t>
  </si>
  <si>
    <t xml:space="preserve">https://www.google.com/maps/search/?api=1&amp;query=Alaska%20Motel&amp;query_place_id=ChIJyboEHKTFwogRJ4VfqFISi9I</t>
  </si>
  <si>
    <t xml:space="preserve">Orange Motel</t>
  </si>
  <si>
    <t xml:space="preserve">(813) 231-4603</t>
  </si>
  <si>
    <t xml:space="preserve">7800 N Nebraska Ave</t>
  </si>
  <si>
    <t xml:space="preserve">https://www.google.com/maps/search/?api=1&amp;query=Orange%20Motel&amp;query_place_id=ChIJ0xeysZXGwogRl6eLG4aDM34</t>
  </si>
  <si>
    <t xml:space="preserve">Sunset Inn Motel</t>
  </si>
  <si>
    <t xml:space="preserve">(813) 626-4313</t>
  </si>
  <si>
    <t xml:space="preserve">4712 E Hillsborough Ave</t>
  </si>
  <si>
    <t xml:space="preserve">https://www.google.com/maps/search/?api=1&amp;query=Sunset%20Inn%20Motel&amp;query_place_id=ChIJixWQHQrGwogRut_zTTMnvKM</t>
  </si>
  <si>
    <t xml:space="preserve">Downtown Motel</t>
  </si>
  <si>
    <t xml:space="preserve">(813) 224-9582</t>
  </si>
  <si>
    <t xml:space="preserve">Tampa Heights</t>
  </si>
  <si>
    <t xml:space="preserve">2739 N Florida Ave</t>
  </si>
  <si>
    <t xml:space="preserve">https://www.google.com/maps/search/?api=1&amp;query=Downtown%20Motel&amp;query_place_id=ChIJn_8izG7EwogRJRHpxk96Ts0</t>
  </si>
  <si>
    <t xml:space="preserve">Jayhawk Motel</t>
  </si>
  <si>
    <t xml:space="preserve">(813) 229-9475</t>
  </si>
  <si>
    <t xml:space="preserve">3415 N Nebraska Ave</t>
  </si>
  <si>
    <t xml:space="preserve">https://www.google.com/maps/search/?api=1&amp;query=Jayhawk%20Motel&amp;query_place_id=ChIJZfE1gEDEwogRXgyypNhn6zA</t>
  </si>
  <si>
    <t xml:space="preserve">Royal Palm Motel</t>
  </si>
  <si>
    <t xml:space="preserve">(813) 238-9478</t>
  </si>
  <si>
    <t xml:space="preserve">5809 N Nebraska Ave #7127</t>
  </si>
  <si>
    <t xml:space="preserve">https://www.google.com/maps/search/?api=1&amp;query=Royal%20Palm%20Motel&amp;query_place_id=ChIJk9KttZ_GwogREhLCFgnFk5g</t>
  </si>
  <si>
    <t xml:space="preserve">University Motel</t>
  </si>
  <si>
    <t xml:space="preserve">(813) 931-4566</t>
  </si>
  <si>
    <t xml:space="preserve">9408 N Nebraska Ave</t>
  </si>
  <si>
    <t xml:space="preserve">https://www.google.com/maps/search/?api=1&amp;query=University%20Motel&amp;query_place_id=ChIJF_XTsOfGwogRKt7MVITsYe8</t>
  </si>
  <si>
    <t xml:space="preserve">Tampa Inn Near Busch Gardens</t>
  </si>
  <si>
    <t xml:space="preserve">(813) 933-6471</t>
  </si>
  <si>
    <t xml:space="preserve">https://www.tampainnbuschgardens.info/</t>
  </si>
  <si>
    <t xml:space="preserve">2901 E Busch Blvd</t>
  </si>
  <si>
    <t xml:space="preserve">https://www.google.com/maps/search/?api=1&amp;query=Tampa%20Inn%20Near%20Busch%20Gardens&amp;query_place_id=ChIJEa4TrfrGwogRwyU4j6_bzHA</t>
  </si>
  <si>
    <t xml:space="preserve">Macdill Motel</t>
  </si>
  <si>
    <t xml:space="preserve">(813) 837-6864</t>
  </si>
  <si>
    <t xml:space="preserve">South Tampa</t>
  </si>
  <si>
    <t xml:space="preserve">Macdill Motel, 6227 S Dale Mabry Hwy</t>
  </si>
  <si>
    <t xml:space="preserve">https://www.google.com/maps/search/?api=1&amp;query=Macdill%20Motel&amp;query_place_id=ChIJ5ShCcu_cwogR_fjNWGIxZ_8</t>
  </si>
  <si>
    <t xml:space="preserve">Mayflower Motel</t>
  </si>
  <si>
    <t xml:space="preserve">(813) 565-8502</t>
  </si>
  <si>
    <t xml:space="preserve">7510 N Florida Ave</t>
  </si>
  <si>
    <t xml:space="preserve">https://www.google.com/maps/search/?api=1&amp;query=Mayflower%20Motel&amp;query_place_id=ChIJMTvTW7nGwogR_plYnYVNB5M</t>
  </si>
  <si>
    <t xml:space="preserve">Sunny South Motel</t>
  </si>
  <si>
    <t xml:space="preserve">(813) 879-2055</t>
  </si>
  <si>
    <t xml:space="preserve">3206 W Hillsborough Ave</t>
  </si>
  <si>
    <t xml:space="preserve">https://www.google.com/maps/search/?api=1&amp;query=Sunny%20South%20Motel&amp;query_place_id=ChIJS4s2zuDDwogRMx_l7LRg-vI</t>
  </si>
  <si>
    <t xml:space="preserve">The Hip Hop Hotels</t>
  </si>
  <si>
    <t xml:space="preserve">(813) 619-2899</t>
  </si>
  <si>
    <t xml:space="preserve">https://thehiphophotels.com/</t>
  </si>
  <si>
    <t xml:space="preserve">820 E Busch Blvd</t>
  </si>
  <si>
    <t xml:space="preserve">https://www.google.com/maps/search/?api=1&amp;query=The%20Hip%20Hop%20Hotels&amp;query_place_id=ChIJa5RF4THHwogRqVeeOguX7-c</t>
  </si>
  <si>
    <t xml:space="preserve">Chestnut Villas</t>
  </si>
  <si>
    <t xml:space="preserve">(813) 337-6160</t>
  </si>
  <si>
    <t xml:space="preserve">Northeast MacFarlane</t>
  </si>
  <si>
    <t xml:space="preserve">2930 W Chestnut St</t>
  </si>
  <si>
    <t xml:space="preserve">https://www.google.com/maps/search/?api=1&amp;query=Chestnut%20Villas&amp;query_place_id=ChIJT1x_SvLDwogR3sDTYJHu7Jg</t>
  </si>
  <si>
    <t xml:space="preserve">Seminole Motel</t>
  </si>
  <si>
    <t xml:space="preserve">(813) 239-2264</t>
  </si>
  <si>
    <t xml:space="preserve">7200 N Florida Ave</t>
  </si>
  <si>
    <t xml:space="preserve">https://www.google.com/maps/search/?api=1&amp;query=Seminole%20Motel&amp;query_place_id=ChIJ_6hbojXHwogRTf8gilMWTG8</t>
  </si>
  <si>
    <t xml:space="preserve">Hotel Haya</t>
  </si>
  <si>
    <t xml:space="preserve">(813) 462-9515</t>
  </si>
  <si>
    <t xml:space="preserve">Has website</t>
  </si>
  <si>
    <t xml:space="preserve">https://hotelhaya.com/?utm_source=google&amp;utm_medium=organic&amp;utm_campaign=googlelisting&amp;utm_id=gmb</t>
  </si>
  <si>
    <t xml:space="preserve">1412 E 7th Ave</t>
  </si>
  <si>
    <t xml:space="preserve">https://www.google.com/maps/search/?api=1&amp;query=Hotel%20Haya&amp;query_place_id=ChIJ2_xFiVrEwogRHOkifwb6NpU</t>
  </si>
  <si>
    <t xml:space="preserve">MacDill AFB Inns</t>
  </si>
  <si>
    <t xml:space="preserve">(813) 828-4259</t>
  </si>
  <si>
    <t xml:space="preserve">https://macdillfss.com/macdill-inn-lodging/</t>
  </si>
  <si>
    <t xml:space="preserve">7637 Bayshore Blvd</t>
  </si>
  <si>
    <t xml:space="preserve">https://www.google.com/maps/search/?api=1&amp;query=MacDill%20AFB%20Inns&amp;query_place_id=ChIJFQj_v9ndwogRp62ss7wlVM8</t>
  </si>
  <si>
    <t xml:space="preserve">Sailport Waterfront Suites</t>
  </si>
  <si>
    <t xml:space="preserve">(855) 651-1841</t>
  </si>
  <si>
    <t xml:space="preserve">https://www.providentresorts.com/sailport-waterfront-suites-tampa-and-treasure-island/?utm_source=local&amp;utm_campaign=gmb&amp;utm_medium=organic</t>
  </si>
  <si>
    <t xml:space="preserve">Westshore</t>
  </si>
  <si>
    <t xml:space="preserve">2506 N Rocky Point Dr</t>
  </si>
  <si>
    <t xml:space="preserve">https://www.google.com/maps/search/?api=1&amp;query=Sailport%20Waterfront%20Suites&amp;query_place_id=ChIJZ_YH9s3pwogR8iNTH5IBaUg</t>
  </si>
  <si>
    <t xml:space="preserve">The Barrymore Hotel Tampa Riverwalk</t>
  </si>
  <si>
    <t xml:space="preserve">(813) 223-1351</t>
  </si>
  <si>
    <t xml:space="preserve">https://www.barrymorehotel.com/</t>
  </si>
  <si>
    <t xml:space="preserve">Downtown</t>
  </si>
  <si>
    <t xml:space="preserve">111 W Fortune St</t>
  </si>
  <si>
    <t xml:space="preserve">https://www.google.com/maps/search/?api=1&amp;query=The%20Barrymore%20Hotel%20Tampa%20Riverwalk&amp;query_place_id=ChIJ1V9kr2LEwogRMW-wiXgjUpA</t>
  </si>
  <si>
    <t xml:space="preserve">Hotel South Tampa &amp; Suites</t>
  </si>
  <si>
    <t xml:space="preserve">(813) 832-4656</t>
  </si>
  <si>
    <t xml:space="preserve">https://www.hotelsouthtampa.com/</t>
  </si>
  <si>
    <t xml:space="preserve">3314 S Dale Mabry Hwy</t>
  </si>
  <si>
    <t xml:space="preserve">https://www.google.com/maps/search/?api=1&amp;query=Hotel%20South%20Tampa%20%26%20Suites&amp;query_place_id=ChIJQ70agTHDwogRZgJzIvOtMeI</t>
  </si>
  <si>
    <t xml:space="preserve">Tahitian Inn</t>
  </si>
  <si>
    <t xml:space="preserve">(813) 877-6721</t>
  </si>
  <si>
    <t xml:space="preserve">http://www.tahitianinn.com/</t>
  </si>
  <si>
    <t xml:space="preserve">Swann Estates</t>
  </si>
  <si>
    <t xml:space="preserve">601 S Dale Mabry Hwy</t>
  </si>
  <si>
    <t xml:space="preserve">https://www.google.com/maps/search/?api=1&amp;query=Tahitian%20Inn&amp;query_place_id=ChIJ8Vj56BDDwogRRzlj2Pn6uAE</t>
  </si>
  <si>
    <t xml:space="preserve">Gram’s Place Bed and Hostel</t>
  </si>
  <si>
    <t xml:space="preserve">Hostel</t>
  </si>
  <si>
    <t xml:space="preserve">(813) 221-0596</t>
  </si>
  <si>
    <t xml:space="preserve">http://grams-inn-tampa.com/</t>
  </si>
  <si>
    <t xml:space="preserve">3109 N Ola Ave</t>
  </si>
  <si>
    <t xml:space="preserve">https://www.google.com/maps/search/?api=1&amp;query=Gram%E2%80%99s%20Place%20Bed%20and%20Hostel&amp;query_place_id=ChIJz2XsdW3EwogRp85hhsbx0ng</t>
  </si>
  <si>
    <t xml:space="preserve">Oasis Bay Suites</t>
  </si>
  <si>
    <t xml:space="preserve">(813) 212-8296</t>
  </si>
  <si>
    <t xml:space="preserve">https://oasisbaysuites.com/?utm_campaign=gmb</t>
  </si>
  <si>
    <t xml:space="preserve">Terrace Park</t>
  </si>
  <si>
    <t xml:space="preserve">3001 University Center Dr</t>
  </si>
  <si>
    <t xml:space="preserve">https://www.google.com/maps/search/?api=1&amp;query=Oasis%20Bay%20Suites&amp;query_place_id=ChIJaw2NtqzHwogRZ60jq39gLnk</t>
  </si>
  <si>
    <t xml:space="preserve">Open Gate Motel</t>
  </si>
  <si>
    <t xml:space="preserve">(813) 239-3134</t>
  </si>
  <si>
    <t xml:space="preserve">http://open-gate-motel.edan.io/</t>
  </si>
  <si>
    <t xml:space="preserve">South Seminole Heights</t>
  </si>
  <si>
    <t xml:space="preserve">4810 N Florida Ave</t>
  </si>
  <si>
    <t xml:space="preserve">https://www.google.com/maps/search/?api=1&amp;query=Open%20Gate%20Motel&amp;query_place_id=ChIJmwRHJBrEwogREV2NerLZ23o</t>
  </si>
  <si>
    <t xml:space="preserve">Hyde Park Hotel</t>
  </si>
  <si>
    <t xml:space="preserve">(813) 254-2000</t>
  </si>
  <si>
    <t xml:space="preserve">http://www.hydeparkhoteltampa.com/</t>
  </si>
  <si>
    <t xml:space="preserve">2105 W Bristol Ave</t>
  </si>
  <si>
    <t xml:space="preserve">https://www.google.com/maps/search/?api=1&amp;query=Hyde%20Park%20Hotel&amp;query_place_id=ChIJQdQ_umbDwogR12GtwLicpt4</t>
  </si>
  <si>
    <t xml:space="preserve">Tampa RV Park Camp Nebraska</t>
  </si>
  <si>
    <t xml:space="preserve">RV park</t>
  </si>
  <si>
    <t xml:space="preserve">(813) 971-3460</t>
  </si>
  <si>
    <t xml:space="preserve">http://www.tampa-rv-park-camp-nebraska.com/</t>
  </si>
  <si>
    <t xml:space="preserve">10314 N Nebraska Ave</t>
  </si>
  <si>
    <t xml:space="preserve">https://www.google.com/maps/search/?api=1&amp;query=Tampa%20RV%20Park%20Camp%20Nebraska&amp;query_place_id=ChIJ_QYJaODGwogR82CgRSrg58s</t>
  </si>
  <si>
    <t xml:space="preserve">Economy Inn</t>
  </si>
  <si>
    <t xml:space="preserve">(813) 933-2665</t>
  </si>
  <si>
    <t xml:space="preserve">http://economy-inn-tampa.poi.place/</t>
  </si>
  <si>
    <t xml:space="preserve">1810 E Busch Blvd</t>
  </si>
  <si>
    <t xml:space="preserve">https://www.google.com/maps/search/?api=1&amp;query=Economy%20Inn&amp;query_place_id=ChIJgfvdCfrGwogRlsw_naUa8Oc</t>
  </si>
  <si>
    <t xml:space="preserve">Palm Villa Hostel</t>
  </si>
  <si>
    <t xml:space="preserve">(813) 455-7947</t>
  </si>
  <si>
    <t xml:space="preserve">https://www.palmvillahostel.com/</t>
  </si>
  <si>
    <t xml:space="preserve">801 E Palm Ave</t>
  </si>
  <si>
    <t xml:space="preserve">https://www.google.com/maps/search/?api=1&amp;query=Palm%20Villa%20Hostel&amp;query_place_id=ChIJJfSmaV3EwogRqDpRWEvkmCs</t>
  </si>
  <si>
    <t xml:space="preserve">The Pickétt Fence</t>
  </si>
  <si>
    <t xml:space="preserve">Bed &amp; breakfast</t>
  </si>
  <si>
    <t xml:space="preserve">(706) 476-7883</t>
  </si>
  <si>
    <t xml:space="preserve">http://www.pf1928.com/</t>
  </si>
  <si>
    <t xml:space="preserve">902 E Louisiana Ave</t>
  </si>
  <si>
    <t xml:space="preserve">https://www.google.com/maps/search/?api=1&amp;query=The%20Pick%C3%A9tt%20Fence&amp;query_place_id=ChIJEV7lx_fFwogRZCuSDL4r9s0</t>
  </si>
  <si>
    <t xml:space="preserve">Casa V. M. Ybor</t>
  </si>
  <si>
    <t xml:space="preserve">Guest house</t>
  </si>
  <si>
    <t xml:space="preserve">(813) 485-6092</t>
  </si>
  <si>
    <t xml:space="preserve">https://casavmybor.com/</t>
  </si>
  <si>
    <t xml:space="preserve">3215 N 12th St T</t>
  </si>
  <si>
    <t xml:space="preserve">https://www.google.com/maps/search/?api=1&amp;query=Casa%20V.%20M.%20Ybor&amp;query_place_id=ChIJYYSi1Y_FwogR-NKHzhx6CfQ</t>
  </si>
  <si>
    <t xml:space="preserve">Shaw's Motel</t>
  </si>
  <si>
    <t xml:space="preserve">(813) 234-4191</t>
  </si>
  <si>
    <t xml:space="preserve">https://www.devam.com/</t>
  </si>
  <si>
    <t xml:space="preserve">Belmont Heights</t>
  </si>
  <si>
    <t xml:space="preserve">1509 E Hillsborough Ave</t>
  </si>
  <si>
    <t xml:space="preserve">https://www.google.com/maps/search/?api=1&amp;query=Shaw's%20Motel&amp;query_place_id=ChIJt6WYfCjEwogRlyBuJGN9m3Q</t>
  </si>
  <si>
    <t xml:space="preserve">Bay Inn</t>
  </si>
  <si>
    <t xml:space="preserve">(813) 932-0073</t>
  </si>
  <si>
    <t xml:space="preserve">http://www.bayinntb.com/</t>
  </si>
  <si>
    <t xml:space="preserve">2307 E Busch Blvd</t>
  </si>
  <si>
    <t xml:space="preserve">https://www.google.com/maps/search/?api=1&amp;query=Bay%20Inn&amp;query_place_id=ChIJ8WOnFHTHwogRoI0uztODM1A</t>
  </si>
  <si>
    <t xml:space="preserve">TAMPA LODGING — CALL LIST</t>
  </si>
  <si>
    <t xml:space="preserve">Apify Google Places export 2026-08-28 · search terms: "hotel", "resort"</t>
  </si>
  <si>
    <t xml:space="preserve">SCRAPE FUNNEL</t>
  </si>
  <si>
    <t xml:space="preserve">Rows scraped</t>
  </si>
  <si>
    <t xml:space="preserve">Removed — not lodging</t>
  </si>
  <si>
    <t xml:space="preserve">Removed — chain / franchise</t>
  </si>
  <si>
    <t xml:space="preserve">Removed — no phone</t>
  </si>
  <si>
    <t xml:space="preserve">Removed — under 10 reviews</t>
  </si>
  <si>
    <t xml:space="preserve">Removed — closed</t>
  </si>
  <si>
    <t xml:space="preserve">WORKABLE LEADS</t>
  </si>
  <si>
    <t xml:space="preserve">Survival rate</t>
  </si>
  <si>
    <t xml:space="preserve">WEBSITE GAP</t>
  </si>
  <si>
    <t xml:space="preserve">Social only</t>
  </si>
  <si>
    <t xml:space="preserve">SITE PLATFORM (fill as you audit)</t>
  </si>
  <si>
    <t xml:space="preserve">Wix</t>
  </si>
  <si>
    <t xml:space="preserve">Squarespace</t>
  </si>
  <si>
    <t xml:space="preserve">GoDaddy</t>
  </si>
  <si>
    <t xml:space="preserve">WordPress</t>
  </si>
  <si>
    <t xml:space="preserve">Weebly</t>
  </si>
  <si>
    <t xml:space="preserve">Custom</t>
  </si>
  <si>
    <t xml:space="preserve">Unknown</t>
  </si>
  <si>
    <t xml:space="preserve">Not mobile friendly</t>
  </si>
  <si>
    <t xml:space="preserve">OWNER RESEARCH</t>
  </si>
  <si>
    <t xml:space="preserve">Owner name filled</t>
  </si>
  <si>
    <t xml:space="preserve">Still blank</t>
  </si>
  <si>
    <t xml:space="preserve">PIPELINE</t>
  </si>
  <si>
    <t xml:space="preserve">No answer</t>
  </si>
  <si>
    <t xml:space="preserve">Voicemail</t>
  </si>
  <si>
    <t xml:space="preserve">Gatekeeper</t>
  </si>
  <si>
    <t xml:space="preserve">Reached owner</t>
  </si>
  <si>
    <t xml:space="preserve">Booked call</t>
  </si>
  <si>
    <t xml:space="preserve">Not interested</t>
  </si>
  <si>
    <t xml:space="preserve">Do not call</t>
  </si>
  <si>
    <t xml:space="preserve">Bad number</t>
  </si>
  <si>
    <t xml:space="preserve">KEY RATIOS</t>
  </si>
  <si>
    <t xml:space="preserve">Total dials logged</t>
  </si>
  <si>
    <t xml:space="preserve">Owners reached</t>
  </si>
  <si>
    <t xml:space="preserve">Calls booked</t>
  </si>
  <si>
    <t xml:space="preserve">Contact rate</t>
  </si>
  <si>
    <t xml:space="preserve">Book rate (of reached)</t>
  </si>
  <si>
    <t xml:space="preserve">LEGEND</t>
  </si>
  <si>
    <t xml:space="preserve">Owner Name blank</t>
  </si>
  <si>
    <t xml:space="preserve">Amber — fill from enrich_owners.py output</t>
  </si>
  <si>
    <t xml:space="preserve">Priority 70+</t>
  </si>
  <si>
    <t xml:space="preserve">Green — call first</t>
  </si>
  <si>
    <t xml:space="preserve">Priority 50-69</t>
  </si>
  <si>
    <t xml:space="preserve">Amber — second pass</t>
  </si>
  <si>
    <t xml:space="preserve">Priority under 50</t>
  </si>
  <si>
    <t xml:space="preserve">Grey — has a site, needs a teardown angle</t>
  </si>
  <si>
    <t xml:space="preserve">Neg % red</t>
  </si>
  <si>
    <t xml:space="preserve">Over 40% of reviews are 1-2 star. Informational only, not filtered.</t>
  </si>
  <si>
    <t xml:space="preserve">Site Platform / Mobile OK</t>
  </si>
  <si>
    <t xml:space="preserve">Blank by design — fill from the site audit.</t>
  </si>
  <si>
    <t xml:space="preserve">Priority built from:</t>
  </si>
  <si>
    <t xml:space="preserve">  No website</t>
  </si>
  <si>
    <t xml:space="preserve">+50</t>
  </si>
  <si>
    <t xml:space="preserve">  OTA / social only</t>
  </si>
  <si>
    <t xml:space="preserve">+40</t>
  </si>
  <si>
    <t xml:space="preserve">  500+ reviews</t>
  </si>
  <si>
    <t xml:space="preserve">+25</t>
  </si>
  <si>
    <t xml:space="preserve">  200-499 reviews</t>
  </si>
  <si>
    <t xml:space="preserve">+20</t>
  </si>
  <si>
    <t xml:space="preserve">  50-199 reviews</t>
  </si>
  <si>
    <t xml:space="preserve">+12</t>
  </si>
  <si>
    <t xml:space="preserve">  Rating 4.5+</t>
  </si>
  <si>
    <t xml:space="preserve">+15</t>
  </si>
  <si>
    <t xml:space="preserve">  Rating 4.0-4.4</t>
  </si>
  <si>
    <t xml:space="preserve">+10</t>
  </si>
  <si>
    <t xml:space="preserve">  GBP unclaimed</t>
  </si>
  <si>
    <t xml:space="preserve">  Under 30 photos</t>
  </si>
  <si>
    <t xml:space="preserve">+5</t>
  </si>
  <si>
    <t xml:space="preserve">Rejected Because</t>
  </si>
  <si>
    <t xml:space="preserve">Epicurean Hotel, Autograph Collection</t>
  </si>
  <si>
    <t xml:space="preserve">https://www.marriott.com/en-us/hotels/tpaak-epicurean-hotel-autograph-collection/overview/?scid=f2ae0541-1279-4f24-b197-a979c79310b0</t>
  </si>
  <si>
    <t xml:space="preserve">chain / franchise</t>
  </si>
  <si>
    <t xml:space="preserve">Tampa Marriott Water Street</t>
  </si>
  <si>
    <t xml:space="preserve">https://www.marriott.com/en-us/hotels/tpamc-tampa-marriott-water-street/overview/?scid=f2ae0541-1279-4f24-b197-a979c79310b0</t>
  </si>
  <si>
    <t xml:space="preserve">Sleep Inn &amp; Suites Tampa South</t>
  </si>
  <si>
    <t xml:space="preserve">https://www.choicehotels.com/florida/tampa/sleep-inn-hotels/fld69?mc=llgoxxpx</t>
  </si>
  <si>
    <t xml:space="preserve">TownePlace Suites by Marriott Tampa South</t>
  </si>
  <si>
    <t xml:space="preserve">https://www.marriott.com/en-us/hotels/tpaxt-towneplace-suites-tampa-south/overview/?scid=f2ae0541-1279-4f24-b197-a979c79310b0</t>
  </si>
  <si>
    <t xml:space="preserve">JW Marriott Tampa Water Street</t>
  </si>
  <si>
    <t xml:space="preserve">https://www.marriott.com/en-us/hotels/tpajd-jw-marriott-tampa-water-street/overview/?scid=f2ae0541-1279-4f24-b197-a979c79310b0</t>
  </si>
  <si>
    <t xml:space="preserve">Westin Tampa Downtown Waterside</t>
  </si>
  <si>
    <t xml:space="preserve">https://www.marriott.com/en-us/hotels/tpawh-westin-tampa-downtown-waterside/overview/?scid=f2ae0541-1279-4f24-b197-a979c79310b0</t>
  </si>
  <si>
    <t xml:space="preserve">Hotel 1</t>
  </si>
  <si>
    <t xml:space="preserve">no phone</t>
  </si>
  <si>
    <t xml:space="preserve">South Tampa Retreat - Hotel Quality Sleep - Family-Friendly</t>
  </si>
  <si>
    <t xml:space="preserve">Cottage</t>
  </si>
  <si>
    <t xml:space="preserve">https://www.vrbo.com/pdp/lo/123211763?MDPCID=VRBO-META.HPA.WEB-ORGANIC.VR</t>
  </si>
  <si>
    <t xml:space="preserve">Holiday Inn Express &amp; Suites Tampa-I-75 @ Bruce B. Downs by IHG</t>
  </si>
  <si>
    <t xml:space="preserve">https://www.ihg.com/holidayinnexpress/hotels/us/en/tampa/tpabd/hoteldetail?cm_mmc=GoogleMaps-_-EX-_-US-_-TPABD</t>
  </si>
  <si>
    <t xml:space="preserve">Embassy Suites by Hilton Tampa USF Near Busch Gardens</t>
  </si>
  <si>
    <t xml:space="preserve">https://www.hilton.com/en/hotels/tpafres-embassy-suites-tampa-usf-near-busch-gardens/?SEO_id=GMB-AMER-ES-TPAFRES</t>
  </si>
  <si>
    <t xml:space="preserve">Hampton Inn &amp; Suites Tampa-North</t>
  </si>
  <si>
    <t xml:space="preserve">https://www.hilton.com/en/hotels/tpanohx-hampton-suites-tampa-north/?SEO_id=GMB-AMER-HX-TPANOHX</t>
  </si>
  <si>
    <t xml:space="preserve">SpringHill Suites by Marriott Tampa North/I-75 Tampa Palms</t>
  </si>
  <si>
    <t xml:space="preserve">https://www.marriott.com/en-us/hotels/tpanp-springhill-suites-tampa-north-i-75-tampa-palms/overview/?scid=f2ae0541-1279-4f24-b197-a979c79310b0</t>
  </si>
  <si>
    <t xml:space="preserve">Comfort Inn &amp; Suites Tampa North I-75</t>
  </si>
  <si>
    <t xml:space="preserve">https://www.choicehotels.com/florida/tampa/comfort-inn-hotels/fl786?mc=llgoxxpx</t>
  </si>
  <si>
    <t xml:space="preserve">Courtyard by Marriott Tampa North/I-75 Fletcher</t>
  </si>
  <si>
    <t xml:space="preserve">https://www.marriott.com/en-us/hotels/tpacy-courtyard-tampa-north-i-75-fletcher/overview/?scid=f2ae0541-1279-4f24-b197-a979c79310b0</t>
  </si>
  <si>
    <t xml:space="preserve">Tampa Palms Country Club</t>
  </si>
  <si>
    <t xml:space="preserve">Country club</t>
  </si>
  <si>
    <t xml:space="preserve">https://www.invitedclubs.com/clubs/tampa-palms-golf-country-club</t>
  </si>
  <si>
    <t xml:space="preserve">not lodging</t>
  </si>
  <si>
    <t xml:space="preserve">Holiday Inn Tampa North by IHG</t>
  </si>
  <si>
    <t xml:space="preserve">https://www.ihg.com/holidayinn/hotels/us/en/tampa/tpafa/hoteldetail?cm_mmc=GoogleMaps-_-HI-_-US-_-TPAFA</t>
  </si>
  <si>
    <t xml:space="preserve">Home2 Suites by Hilton Tampa USF Near Busch Gardens</t>
  </si>
  <si>
    <t xml:space="preserve">https://www.hilton.com/en/hotels/tpasfht-home2-suites-tampa-usf-near-busch-gardens/?SEO_id=GMB-AMER-HT-TPASFHT</t>
  </si>
  <si>
    <t xml:space="preserve">La Quinta Inn &amp; Suites by Wyndham USF (Near Busch Gardens)</t>
  </si>
  <si>
    <t xml:space="preserve">https://www.wyndhamhotels.com/laquinta/tampa-florida/la-quinta-usf-near-busch-gardens/overview?CID=LC:6ysy27krtpcrqev:53065&amp;iata=00093796</t>
  </si>
  <si>
    <t xml:space="preserve">The Lodge at Hidden River</t>
  </si>
  <si>
    <t xml:space="preserve">Apartment building</t>
  </si>
  <si>
    <t xml:space="preserve">https://www.lodgeathiddenriverapts.com/?utm_source=google-locallisting&amp;utm_medium=organic&amp;utm_campaign=gmb</t>
  </si>
  <si>
    <t xml:space="preserve">The Club at Hidden River</t>
  </si>
  <si>
    <t xml:space="preserve">Apartment complex</t>
  </si>
  <si>
    <t xml:space="preserve">https://www.hiddenriveraptstampa.com/?utm_knock=orgs</t>
  </si>
  <si>
    <t xml:space="preserve">La Quinta Inn by Wyndham Tampa Near Busch Gardens</t>
  </si>
  <si>
    <t xml:space="preserve">https://www.wyndhamhotels.com/laquinta/tampa-florida/la-quinta-inn-tampa-near-busch-gardens/overview?CID=LC:6ysy27krtpcrqev:53068&amp;iata=00093796</t>
  </si>
  <si>
    <t xml:space="preserve">Holiday Inn Express &amp; Suites Tampa East - Ybor City by IHG</t>
  </si>
  <si>
    <t xml:space="preserve">https://www.ihg.com/holidayinnexpress/hotels/us/en/tampa/tpans/hoteldetail?cm_mmc=GoogleMaps-_-EX-_-US-_-TPANS</t>
  </si>
  <si>
    <t xml:space="preserve">Embassy Suites by Hilton Tampa Downtown Convention Center</t>
  </si>
  <si>
    <t xml:space="preserve">https://www.hilton.com/en/hotels/tpaeses-embassy-suites-tampa-downtown-convention-center/?SEO_id=GMB-AMER-ES-TPAESES</t>
  </si>
  <si>
    <t xml:space="preserve">Hilton Tampa Downtown</t>
  </si>
  <si>
    <t xml:space="preserve">https://www.hilton.com/en/hotels/tpanthf-hilton-tampa-downtown/?SEO_id=GMB-AMER-HH-TPANTHF</t>
  </si>
  <si>
    <t xml:space="preserve">Hampton Inn &amp; Suites Tampa Busch Gardens Area</t>
  </si>
  <si>
    <t xml:space="preserve">https://www.hilton.com/en/hotels/tpanbhx-hampton-suites-tampa-busch-gardens-area/?SEO_id=GMB-AMER-HX-TPANBHX</t>
  </si>
  <si>
    <t xml:space="preserve">Hotel Flor Tampa Downtown, Tapestry Collection by Hilton</t>
  </si>
  <si>
    <t xml:space="preserve">https://www.hilton.com/en/hotels/tpamtup-hotel-flor-tampa-downtown/?SEO_id=GMB-AMER-UP-TPAMTUP</t>
  </si>
  <si>
    <t xml:space="preserve">Holiday Inn Express &amp; Suites Tampa -Usf-Busch Gardens by IHG</t>
  </si>
  <si>
    <t xml:space="preserve">https://www.ihg.com/holidayinnexpress/hotels/us/en/tampa/tpabb/hoteldetail?cm_mmc=GoogleMaps-_-EX-_-US-_-TPABB</t>
  </si>
  <si>
    <t xml:space="preserve">Hampton Inn Tampa Downtown Channel District</t>
  </si>
  <si>
    <t xml:space="preserve">https://www.hilton.com/en/hotels/tpatbhx-hampton-tampa-downtown-channel-district/?SEO_id=GMB-AMER-HX-TPATBHX</t>
  </si>
  <si>
    <t xml:space="preserve">Hilton Garden Inn Tampa Ybor Historic District</t>
  </si>
  <si>
    <t xml:space="preserve">https://www.hilton.com/en/hotels/tpaycgi-hilton-garden-inn-tampa-ybor-historic-district/?SEO_id=GMB-AMER-GI-TPAYCGI</t>
  </si>
  <si>
    <t xml:space="preserve">The Beck at Hidden River</t>
  </si>
  <si>
    <t xml:space="preserve">Condominium complex</t>
  </si>
  <si>
    <t xml:space="preserve">https://www.thebecktampa.com/?rcstdid=Mg==-YRjTEizZPgM=&amp;utm_source=GMB&amp;utm_medium=organic</t>
  </si>
  <si>
    <t xml:space="preserve">Arbor Greene Community Center</t>
  </si>
  <si>
    <t xml:space="preserve">Community center</t>
  </si>
  <si>
    <t xml:space="preserve">http://arborgreene.com/</t>
  </si>
  <si>
    <t xml:space="preserve">Oxford Place At Tampa Palms</t>
  </si>
  <si>
    <t xml:space="preserve">The Grand Reserve at Tampa Palms Apartments</t>
  </si>
  <si>
    <t xml:space="preserve">Apartment rental agency</t>
  </si>
  <si>
    <t xml:space="preserve">https://www.cr-grandreserveapts.com/?utm_source=GMB&amp;utm_medium=organic</t>
  </si>
  <si>
    <t xml:space="preserve">Enchanted Travels with Cassie</t>
  </si>
  <si>
    <t xml:space="preserve">Travel agency</t>
  </si>
  <si>
    <t xml:space="preserve">https://enchantedtravelswithcassie.com/</t>
  </si>
  <si>
    <t xml:space="preserve">Trails at Hunter's Lake</t>
  </si>
  <si>
    <t xml:space="preserve">https://trailsathunterslake.com/?ilm=obl&amp;utm_source=gmb&amp;utm_medium=organic</t>
  </si>
  <si>
    <t xml:space="preserve">Grand Hampton Clubhouse</t>
  </si>
  <si>
    <t xml:space="preserve">https://www.egrandhampton.com/</t>
  </si>
  <si>
    <t xml:space="preserve">Travelworld</t>
  </si>
  <si>
    <t xml:space="preserve">Cruise agency</t>
  </si>
  <si>
    <t xml:space="preserve">https://www.travelworld1.com/</t>
  </si>
  <si>
    <t xml:space="preserve">The Legacy at Highwoods Preserve</t>
  </si>
  <si>
    <t xml:space="preserve">Assisted living facility</t>
  </si>
  <si>
    <t xml:space="preserve">https://www.legacypreservetampa.com/</t>
  </si>
  <si>
    <t xml:space="preserve">Rodeway Inn Near Ybor City - Casino</t>
  </si>
  <si>
    <t xml:space="preserve">https://www.rodewayinntampayborcity.com/</t>
  </si>
  <si>
    <t xml:space="preserve">Marriott Tampa Westshore</t>
  </si>
  <si>
    <t xml:space="preserve">https://www.marriott.com/en-us/hotels/tpawe-marriott-tampa-westshore/overview/?scid=f2ae0541-1279-4f24-b197-a979c79310b0</t>
  </si>
  <si>
    <t xml:space="preserve">Country Inn &amp; Suites by Radisson, RJ Stadium - Tampa Airport East</t>
  </si>
  <si>
    <t xml:space="preserve">https://www.choicehotels.com/florida/tampa/country-inn-suites-hotels/fld26?mc=llgoxxpx</t>
  </si>
  <si>
    <t xml:space="preserve">Econo Lodge Airport @ RJ Stadium</t>
  </si>
  <si>
    <t xml:space="preserve">https://www.choicehotels.com/florida/tampa/econo-lodge-hotels/fl724?mc=llgoxxpx</t>
  </si>
  <si>
    <t xml:space="preserve">Home2 Suites by Hilton Tampa Downtown Channel District</t>
  </si>
  <si>
    <t xml:space="preserve">https://www.hilton.com/en/hotels/tpadbht-home2-suites-tampa-downtown-channel-district/?SEO_id=GMB-AMER-HT-TPADBHT</t>
  </si>
  <si>
    <t xml:space="preserve">Quality Inn &amp; Suites Tampa near Fairgrounds and Casino</t>
  </si>
  <si>
    <t xml:space="preserve">https://www.choicehotels.com/florida/tampa/quality-inn-hotels/fla63?mc=llgoxxpx</t>
  </si>
  <si>
    <t xml:space="preserve">Red Roof PLUS+ &amp; Suites Tampa - Busch Gardens</t>
  </si>
  <si>
    <t xml:space="preserve">https://www.redroof.com/property/fl/tampa/RRI1261?utm_source=GMB&amp;utm_medium=Google&amp;utm_campaign=GMB_Performance_RRI1261</t>
  </si>
  <si>
    <t xml:space="preserve">Hilton Garden Inn Tampa Airport Westshore</t>
  </si>
  <si>
    <t xml:space="preserve">https://www.hilton.com/en/hotels/tpawsgi-hilton-garden-inn-tampa-airport-westshore/?SEO_id=GMB-AMER-GI-TPAWSGI</t>
  </si>
  <si>
    <t xml:space="preserve">Tampa Airport Marriott</t>
  </si>
  <si>
    <t xml:space="preserve">https://www.marriott.com/en-us/hotels/tpaap-tampa-airport-marriott/overview/?scid=f2ae0541-1279-4f24-b197-a979c79310b0</t>
  </si>
  <si>
    <t xml:space="preserve">Hampton Inn &amp; Suites Tampa Airport Avion Park Westshore</t>
  </si>
  <si>
    <t xml:space="preserve">https://www.hilton.com/en/hotels/tpaashx-hampton-suites-tampa-airport-avion-park-westshore/?SEO_id=GMB-AMER-HX-TPAASHX</t>
  </si>
  <si>
    <t xml:space="preserve">New Tampa Palms</t>
  </si>
  <si>
    <t xml:space="preserve">https://www.gardencommunitiesfl.com/Properties/FL/Hillsborough/New-Tampa-Palms.aspx</t>
  </si>
  <si>
    <t xml:space="preserve">Pebble Creek Animal Hospital</t>
  </si>
  <si>
    <t xml:space="preserve">Animal hospital</t>
  </si>
  <si>
    <t xml:space="preserve">https://www.tampabayvets.net/location/pebble-creek/</t>
  </si>
  <si>
    <t xml:space="preserve">PetSmart Doggie Day Camp</t>
  </si>
  <si>
    <t xml:space="preserve">Pet boarding service</t>
  </si>
  <si>
    <t xml:space="preserve">https://stores.petsmart.com/fl/tampa/north-tampa/petshotel-doggie-day-camp?utm_source=google&amp;utm_medium=organic&amp;utm_campaign=google-my-business</t>
  </si>
  <si>
    <t xml:space="preserve">Le Méridien Tampa, The Courthouse</t>
  </si>
  <si>
    <t xml:space="preserve">https://www.marriott.com/en-us/hotels/tpamd-le-meridien-tampa-the-courthouse/overview/?scid=f2ae0541-1279-4f24-b197-a979c79310b0</t>
  </si>
  <si>
    <t xml:space="preserve">Econo Lodge Tampa near Busch Gardens</t>
  </si>
  <si>
    <t xml:space="preserve">https://www.choicehotels.com/florida/tampa/econo-lodge-hotels/fl338?mc=llgoxxpx</t>
  </si>
  <si>
    <t xml:space="preserve">Embassy Suites by Hilton Tampa Airport Westshore</t>
  </si>
  <si>
    <t xml:space="preserve">https://www.hilton.com/en/hotels/tpafles-embassy-suites-tampa-airport-westshore/?SEO_id=GMB-AMER-ES-TPAFLES</t>
  </si>
  <si>
    <t xml:space="preserve">Hampton Inn &amp; Suites Tampa/Ybor City/Downtown</t>
  </si>
  <si>
    <t xml:space="preserve">https://www.hilton.com/en/hotels/tpaybhx-hampton-suites-tampa-ybor-city-downtown/?SEO_id=GMB-AMER-HX-TPAYBHX</t>
  </si>
  <si>
    <t xml:space="preserve">Hyatt House Tampa Airport / Westshore</t>
  </si>
  <si>
    <t xml:space="preserve">https://www.hyatt.com/hyatt-house/en-US/tpaxw-hyatt-house-tampa-airport-westshore?src=corp_lclb_google_seo_tpaxw&amp;utm_source=google&amp;utm_medium=organic&amp;utm_campaign=lmr</t>
  </si>
  <si>
    <t xml:space="preserve">Holiday Inn Tampa Westshore - Airport Area by IHG</t>
  </si>
  <si>
    <t xml:space="preserve">https://www.ihg.com/holidayinn/hotels/us/en/tampa/tpacp/hoteldetail?cm_mmc=GoogleMaps-_-HI-_-US-_-TPACP</t>
  </si>
  <si>
    <t xml:space="preserve">Hyatt House Tampa Downtown</t>
  </si>
  <si>
    <t xml:space="preserve">https://www.hyatt.com/hyatt-house/en-US/tpaxd-hyatt-house-tampa-downtown?src=corp_lclb_google_seo_tpaxd&amp;utm_source=google&amp;utm_medium=organic&amp;utm_campaign=lmr</t>
  </si>
  <si>
    <t xml:space="preserve">Extended Stay America Suites- Tampa - Airport - N. Westshore Blvd.</t>
  </si>
  <si>
    <t xml:space="preserve">https://www.extendedstayamerica.com/hotels/fl/tampa/airport-n-westshore-blvd?channel=gmb-listing&amp;utm_source=google&amp;utm_medium=organic&amp;utm_campaign=gmb_listing</t>
  </si>
  <si>
    <t xml:space="preserve">Renaissance Tampa International Plaza Hotel</t>
  </si>
  <si>
    <t xml:space="preserve">https://www.marriott.com/en-us/hotels/tpaim-renaissance-tampa-international-plaza-hotel/overview/?scid=f2ae0541-1279-4f24-b197-a979c79310b0</t>
  </si>
  <si>
    <t xml:space="preserve">Days Inn &amp; Suites by Wyndham Tampa / Raymond James Stadium</t>
  </si>
  <si>
    <t xml:space="preserve">https://www.wyndhamhotels.com/days-inn/tampa-florida/days-inn-tampa-raymond-james-stadium/overview?CID=LC:iqv0j1dklijly45:28913&amp;iata=00093796</t>
  </si>
  <si>
    <t xml:space="preserve">Aloft by Marriott Tampa Midtown</t>
  </si>
  <si>
    <t xml:space="preserve">https://www.marriott.com/en-us/hotels/tpaal-aloft-tampa-midtown/overview/?scid=f2ae0541-1279-4f24-b197-a979c79310b0</t>
  </si>
  <si>
    <t xml:space="preserve">Extended Stay America Suites- Tampa - Airport - Spruce Street</t>
  </si>
  <si>
    <t xml:space="preserve">https://www.extendedstayamerica.com/hotels/fl/tampa/airport-spruce-street?channel=gmb-listing&amp;utm_source=google&amp;utm_medium=organic&amp;utm_campaign=gmb_listing</t>
  </si>
  <si>
    <t xml:space="preserve">Holiday Inn Express &amp; Suites Tampa Stadium - Airport Area by IHG</t>
  </si>
  <si>
    <t xml:space="preserve">https://www.ihg.com/holidayinnexpress/hotels/us/en/tampa/tpada/hoteldetail?cm_mmc=GoogleMaps-_-EX-_-US-_-TPADA</t>
  </si>
  <si>
    <t xml:space="preserve">Fairfield by Marriott Inn &amp; Suites Tampa Westshore/Airport</t>
  </si>
  <si>
    <t xml:space="preserve">https://www.marriott.com/en-us/hotels/tpawa-fairfield-inn-and-suites-tampa-westshore-airport/overview/?scid=f2ae0541-1279-4f24-b197-a979c79310b0</t>
  </si>
  <si>
    <t xml:space="preserve">Courtyard by Marriott Tampa Downtown</t>
  </si>
  <si>
    <t xml:space="preserve">https://www.marriott.com/en-us/hotels/tpadt-courtyard-tampa-downtown/overview/?scid=f2ae0541-1279-4f24-b197-a979c79310b0</t>
  </si>
  <si>
    <t xml:space="preserve">SpringHill Suites by Marriott Tampa Westshore Airport</t>
  </si>
  <si>
    <t xml:space="preserve">https://www.marriott.com/en-us/hotels/tpash-springhill-suites-tampa-westshore-airport/overview/?scid=f2ae0541-1279-4f24-b197-a979c79310b0</t>
  </si>
  <si>
    <t xml:space="preserve">Element by Marriott Tampa Midtown</t>
  </si>
  <si>
    <t xml:space="preserve">https://www.marriott.com/en-us/hotels/tpael-element-tampa-midtown/overview/?scid=f2ae0541-1279-4f24-b197-a979c79310b0</t>
  </si>
  <si>
    <t xml:space="preserve">Courtyard by Marriott Tampa Westshore/Airport</t>
  </si>
  <si>
    <t xml:space="preserve">https://www.marriott.com/en-us/hotels/tpawt-courtyard-tampa-westshore-airport/overview/?scid=f2ae0541-1279-4f24-b197-a979c79310b0</t>
  </si>
  <si>
    <t xml:space="preserve">Home2 Suites by Hilton Tampa Westshore Airport</t>
  </si>
  <si>
    <t xml:space="preserve">https://www.hilton.com/en/hotels/tpawaht-home2-suites-tampa-westshore-airport/?SEO_id=GMB-AMER-HT-TPAWAHT</t>
  </si>
  <si>
    <t xml:space="preserve">Residence Inn by Marriott Tampa Downtown</t>
  </si>
  <si>
    <t xml:space="preserve">https://www.marriott.com/en-us/hotels/tpatd-residence-inn-tampa-downtown/overview/?scid=f2ae0541-1279-4f24-b197-a979c79310b0</t>
  </si>
  <si>
    <t xml:space="preserve">Homewood Suites by Hilton Tampa Airport - Westshore</t>
  </si>
  <si>
    <t xml:space="preserve">https://www.hilton.com/en/hotels/tpaaphw-homewood-suites-tampa-airport-westshore/?SEO_id=GMB-AMER-HG-TPAAPHW</t>
  </si>
  <si>
    <t xml:space="preserve">TownePlace Suites by Marriott Tampa Westshore/Airport</t>
  </si>
  <si>
    <t xml:space="preserve">https://www.marriott.com/en-us/hotels/tpatw-towneplace-suites-tampa-westshore-airport/overview/?scid=f2ae0541-1279-4f24-b197-a979c79310b0</t>
  </si>
  <si>
    <t xml:space="preserve">Residence Inn by Marriott Tampa Westshore/Airport</t>
  </si>
  <si>
    <t xml:space="preserve">https://www.marriott.com/en-us/hotels/tpaws-residence-inn-tampa-westshore-airport/overview/?scid=f2ae0541-1279-4f24-b197-a979c79310b0</t>
  </si>
  <si>
    <t xml:space="preserve">Days Inn &amp; Suites by Wyndham Tampa near Ybor City</t>
  </si>
  <si>
    <t xml:space="preserve">https://www.wyndhamhotels.com/days-inn/tampa-florida/days-inn-suites-tampa-near-ybor-city-fl-state-fair-grounds/overview?CID=LC:iqv0j1dklijly45:47976&amp;iata=00093796</t>
  </si>
  <si>
    <t xml:space="preserve">AC Hotel Tampa Airport</t>
  </si>
  <si>
    <t xml:space="preserve">https://www.marriott.com/en-us/hotels/tpaac-ac-hotel-tampa-airport/overview/?scid=f2ae0541-1279-4f24-b197-a979c79310b0</t>
  </si>
  <si>
    <t xml:space="preserve">Hotel cercas de la calle armenia</t>
  </si>
  <si>
    <t xml:space="preserve">Hotel ORA &amp; Private Residences</t>
  </si>
  <si>
    <t xml:space="preserve">https://ora-hotel.com/</t>
  </si>
  <si>
    <t xml:space="preserve">under 10 reviews</t>
  </si>
  <si>
    <t xml:space="preserve">Trabajo hotel</t>
  </si>
  <si>
    <t xml:space="preserve">Hotel gotta</t>
  </si>
  <si>
    <t xml:space="preserve">marylin's hotel</t>
  </si>
  <si>
    <t xml:space="preserve">Casa Ybor Hotel</t>
  </si>
  <si>
    <t xml:space="preserve">La Quinta Inn &amp; Suites by Wyndham Tampa Bay Area-Tampa South</t>
  </si>
  <si>
    <t xml:space="preserve">https://www.wyndhamhotels.com/laquinta/tampa-florida/la-quinta-tampa-bay-area-tampa-south/overview?CID=LC:6ysy27krtpcrqev:53063&amp;iata=00093796</t>
  </si>
  <si>
    <t xml:space="preserve">The Westshore Grand, Tampa, a Tribute Portfolio Hotel</t>
  </si>
  <si>
    <t xml:space="preserve">https://www.marriott.com/en-us/hotels/tpagr-the-westshore-grand-tampa-a-tribute-portfolio-hotel/overview/?scid=f2ae0541-1279-4f24-b197-a979c79310b0</t>
  </si>
  <si>
    <t xml:space="preserve">Quality Inn Tampa Airport - Cruise Port</t>
  </si>
  <si>
    <t xml:space="preserve">https://www.choicehotels.com/florida/tampa/quality-inn-hotels/fl452?mc=llgoxxpx</t>
  </si>
  <si>
    <t xml:space="preserve">Best Western Tampa</t>
  </si>
  <si>
    <t xml:space="preserve">https://www.bestwestern.com/en_US/book/hotel-rooms.10306.html?iata=00171880&amp;ssob=BLBWI0004G&amp;cid=BLBWI0004G:google:gmb:10306</t>
  </si>
  <si>
    <t xml:space="preserve">Hotel Alba Tampa, Tapestry Collection by Hilton</t>
  </si>
  <si>
    <t xml:space="preserve">https://www.hilton.com/en/hotels/tpawtup-hotel-alba-tampa/?SEO_id=GMB-AMER-UP-TPAWTUP</t>
  </si>
  <si>
    <t xml:space="preserve">Four Points by Sheraton Suites Tampa Airport Westshore</t>
  </si>
  <si>
    <t xml:space="preserve">https://www.marriott.com/en-us/hotels/tpafp-four-points-suites-tampa-airport-westshore/overview/?scid=f2ae0541-1279-4f24-b197-a979c79310b0</t>
  </si>
  <si>
    <t xml:space="preserve">Aqua at Westshore Yacht Club</t>
  </si>
  <si>
    <t xml:space="preserve">https://aquaresidencestampa.com/?utm_campaign=gmb</t>
  </si>
  <si>
    <t xml:space="preserve">Grand Hyatt Tampa Bay</t>
  </si>
  <si>
    <t xml:space="preserve">Resort hotel</t>
  </si>
  <si>
    <t xml:space="preserve">https://www.hyatt.com/grand-hyatt/en-US/tparw-grand-hyatt-tampa-bay?src=corp_lclb_google_seo_tparw&amp;utm_source=google&amp;utm_medium=organic&amp;utm_campaign=lmr</t>
  </si>
  <si>
    <t xml:space="preserve">Aloft by Marriott Tampa Downtown</t>
  </si>
  <si>
    <t xml:space="preserve">https://www.marriott.com/en-us/hotels/tpatl-aloft-tampa-downtown/overview/?scid=f2ae0541-1279-4f24-b197-a979c79310b0</t>
  </si>
  <si>
    <t xml:space="preserve">Hilton Tampa Airport Westshore</t>
  </si>
  <si>
    <t xml:space="preserve">https://www.hilton.com/en/hotels/tpaahhf-hilton-tampa-airport-westshore/?SEO_id=GMB-AMER-HH-TPAAHHF</t>
  </si>
  <si>
    <t xml:space="preserve">Holiday Inn Express &amp; Suites Tampa</t>
  </si>
  <si>
    <t xml:space="preserve">https://www.ihg.com/holidayinnexpress/hotels/us/en/tampa/tpaap/hoteldetail?cm_mmc=GoogleMaps-_-EX-_-US-_-TPAAP</t>
  </si>
  <si>
    <t xml:space="preserve">DoubleTree by Hilton Tampa Rocky Point Waterfront</t>
  </si>
  <si>
    <t xml:space="preserve">https://www.hilton.com/en/hotels/tparhdt-doubletree-tampa-rocky-point-waterfront/?SEO_id=GMB-AMER-DT-TPARHDT</t>
  </si>
  <si>
    <t xml:space="preserve">Hampton Inn Tampa-International Airport/Westshore</t>
  </si>
  <si>
    <t xml:space="preserve">https://www.hilton.com/en/hotels/tpaathx-hampton-tampa-international-airport-westshore/?SEO_id=GMB-AMER-HX-TPAATHX</t>
  </si>
  <si>
    <t xml:space="preserve">La Quinta Inn Tampa Airport Stadium Westshore</t>
  </si>
  <si>
    <t xml:space="preserve">https://www.wyndhamhotels.com/laquinta/tampa-florida/la-quinta-inn-tampa-airport-stadium-westshore/overview?CID=LC:6ysy27krtpcrqev:53064&amp;iata=00093796</t>
  </si>
  <si>
    <t xml:space="preserve">Hotel Tampa Riverwalk</t>
  </si>
  <si>
    <t xml:space="preserve">https://www.hilton.com/en/hotels/tparwqq-hotel-tampa-riverwalk/?SEO_id=GMB-AMER-QQ-TPARWQQ</t>
  </si>
  <si>
    <t xml:space="preserve">The CURRENT Hotel, Autograph Collection</t>
  </si>
  <si>
    <t xml:space="preserve">https://www.marriott.com/en-us/hotels/tparo-the-current-hotel-autograph-collection/overview/?scid=f2ae0541-1279-4f24-b197-a979c79310b0</t>
  </si>
  <si>
    <t xml:space="preserve">The Tampa EDITION</t>
  </si>
  <si>
    <t xml:space="preserve">https://www.marriott.com/en-us/hotels/tpaeb-the-tampa-edition/overview/?scid=f2ae0541-1279-4f24-b197-a979c79310b0</t>
  </si>
  <si>
    <t xml:space="preserve">Hampton Inn Tampa/Rocky Point-Airport</t>
  </si>
  <si>
    <t xml:space="preserve">https://www.hilton.com/en/hotels/tparphx-hampton-tampa-rocky-point-airport/?SEO_id=GMB-AMER-HX-TPARPHX</t>
  </si>
  <si>
    <t xml:space="preserve">SpringHill Suites by Marriott Tampa Downtown</t>
  </si>
  <si>
    <t xml:space="preserve">https://www.marriott.com/en-us/hotels/tpads-springhill-suites-tampa-downtown/overview/?scid=f2ae0541-1279-4f24-b197-a979c79310b0</t>
  </si>
  <si>
    <t xml:space="preserve">BayScape Bistro</t>
  </si>
  <si>
    <t xml:space="preserve">Restaurant</t>
  </si>
  <si>
    <t xml:space="preserve">http://www.bayscapefl.com/</t>
  </si>
  <si>
    <t xml:space="preserve">MAA Hampton Preserve</t>
  </si>
  <si>
    <t xml:space="preserve">https://www.maac.com/florida/tampa/maa-hampton-preserve/?utm_medium=local%20listing&amp;utm_source=google&amp;utm_campaign=gmb&amp;utm_content=website</t>
  </si>
  <si>
    <t xml:space="preserve">The Oasis at Highwoods Preserve</t>
  </si>
  <si>
    <t xml:space="preserve">https://www.oasisathighwoods.com/?rcstdid=Mg%3D%3D-YRjTEizZPgM%3D&amp;utm_source=GMB&amp;utm_medium=organic</t>
  </si>
  <si>
    <t xml:space="preserve">Kingsbridge Travel</t>
  </si>
  <si>
    <t xml:space="preserve">http://www.kingsbridgetravel.com/</t>
  </si>
  <si>
    <t xml:space="preserve">Windsor Highwoods Preserve Apartments</t>
  </si>
  <si>
    <t xml:space="preserve">https://www.windsorcommunities.com/properties/windsor-highwoods-preserve/?utm_campaign=GoogleMyBusiness</t>
  </si>
  <si>
    <t xml:space="preserve">The Preserve At Tampa Palms Apartments</t>
  </si>
  <si>
    <t xml:space="preserve">https://www.liveatpreservetampapalms.com/?rcstdid=Mg%3D%3D-YRjTEizZPgM%3D&amp;utm_source=GBP&amp;utm_medium=Website+Link</t>
  </si>
  <si>
    <t xml:space="preserve">Portofino Apartments</t>
  </si>
  <si>
    <t xml:space="preserve">https://www.rent-portofino.com/?utm_knock=g</t>
  </si>
  <si>
    <t xml:space="preserve">Global Jetsetters Travel Group</t>
  </si>
  <si>
    <t xml:space="preserve">http://www.facebook.com/globaljetsetters</t>
  </si>
  <si>
    <t xml:space="preserve">Luxury Resort Style 1bdrm</t>
  </si>
  <si>
    <t xml:space="preserve">Lodging</t>
  </si>
  <si>
    <t xml:space="preserve">https://br.bluepillow.com/search/662630bb4338d48a8fc6b089?dest=bkng&amp;cat=Apartment&amp;lat=27.88908&amp;lng=-82.51732&amp;language=pt</t>
  </si>
  <si>
    <t xml:space="preserve">Dreamy Pink Resort Style Oasis in Channelside</t>
  </si>
  <si>
    <t xml:space="preserve">https://br.bluepillow.com/search/6582cce56c560103cb442cdb?dest=bkng&amp;cat=Apartment&amp;lat=27.94916&amp;lng=-82.44771&amp;language=pt</t>
  </si>
  <si>
    <t xml:space="preserve">Stunning Bayshore Suite With Resort Style Pool, Gym, Free Parking and Much More</t>
  </si>
  <si>
    <t xml:space="preserve">Apartment</t>
  </si>
  <si>
    <t xml:space="preserve">Resort Style 2 Bedroom 2 bath in South Tampa with crisp decor.</t>
  </si>
  <si>
    <t xml:space="preserve">Perfect 1Bedroom Resort Condo Free Covered Parking</t>
  </si>
  <si>
    <t xml:space="preserve">https://br.bluepillow.com/search/648618607f7e24c1922ec700?dest=bkng&amp;cat=Apartment&amp;lat=27.88685&amp;lng=-82.52564&amp;language=pt</t>
  </si>
  <si>
    <t xml:space="preserve">S. Tampa 10 Bedroom Mansion - Private Resort!</t>
  </si>
  <si>
    <t xml:space="preserve">Villa</t>
  </si>
  <si>
    <t xml:space="preserve">https://br.bluepillow.com/search/68114d5ea74f8eb5bd281214?dest=bpex&amp;cat=Villa&amp;lat=27.92447&amp;lng=-82.52058&amp;language=pt</t>
  </si>
  <si>
    <t xml:space="preserve">Spa Evangeline</t>
  </si>
  <si>
    <t xml:space="preserve">Spa</t>
  </si>
  <si>
    <t xml:space="preserve">https://spaevangeline.com/?utm_source=GMB&amp;utm_medium=WebsiteClick&amp;utm_campaign=Tampa&amp;utm_content=7234-33</t>
  </si>
  <si>
    <t xml:space="preserve">Bay Palms Golf Complex</t>
  </si>
  <si>
    <t xml:space="preserve">Golf course</t>
  </si>
  <si>
    <t xml:space="preserve">https://macdillfss.com/bay-palms-golf-facility/</t>
  </si>
  <si>
    <t xml:space="preserve">Spa Jardin</t>
  </si>
  <si>
    <t xml:space="preserve">Day spa</t>
  </si>
  <si>
    <t xml:space="preserve">http://www.spajardin.com/</t>
  </si>
  <si>
    <t xml:space="preserve">The Residence Peninsula</t>
  </si>
  <si>
    <t xml:space="preserve">https://www.simpsonpropertygroup.com/apartments/tampa-florida/the-residence-peninsula-south-tampa?UTM_source=GMB_listing&amp;UTM_medium=organic</t>
  </si>
  <si>
    <t xml:space="preserve">Grand Key Condominiums</t>
  </si>
  <si>
    <t xml:space="preserve">The Residences at Westshore Marina</t>
  </si>
  <si>
    <t xml:space="preserve">https://www.residencesatwestshore.com/?utm_knock=gmb</t>
  </si>
  <si>
    <t xml:space="preserve">Hyatt Place Tampa Downtown</t>
  </si>
  <si>
    <t xml:space="preserve">https://www.hyatt.com/hyatt-place/en-US/tpazd-hyatt-place-tampa-downtown?src=corp_lclb_google_seo_tpazd&amp;utm_source=google&amp;utm_medium=organic&amp;utm_campaign=lmr</t>
  </si>
  <si>
    <t xml:space="preserve">Base Motel By OYO South Tampa</t>
  </si>
  <si>
    <t xml:space="preserve">https://www.oyorooms.com/us/304207/?utm_source=GMB&amp;utm_medium=Organic&amp;utm_campaign=US_TMA014</t>
  </si>
  <si>
    <t xml:space="preserve">The Hyde Out - by CAYA Vacation Rentals</t>
  </si>
  <si>
    <t xml:space="preserve">Homestay</t>
  </si>
  <si>
    <t xml:space="preserve">https://www.cayavacationrentals.com/listings/416715</t>
  </si>
  <si>
    <t xml:space="preserve">Golf View Villas Tampa FL</t>
  </si>
  <si>
    <t xml:space="preserve">The Artist House - Hyde Park - by CAYA Vacation Rentals</t>
  </si>
  <si>
    <t xml:space="preserve">https://www.cayavacationrentals.com/listings/471663</t>
  </si>
  <si>
    <t xml:space="preserve">Hyatt Place Tampa/Busch Gardens</t>
  </si>
  <si>
    <t xml:space="preserve">https://www.hyatt.com/hyatt-place/en-US/tpazb-hyatt-place-tampa-busch-gardens?src=corp_lclb_google_seo_tpazb&amp;utm_source=google&amp;utm_medium=organic&amp;utm_campaign=lmr</t>
  </si>
  <si>
    <t xml:space="preserve">ZenHomes in Tampa near Busch Gardens</t>
  </si>
  <si>
    <t xml:space="preserve">Luxe Tampa Villa | Guest House with Resort Vibes</t>
  </si>
  <si>
    <t xml:space="preserve">House</t>
  </si>
  <si>
    <t xml:space="preserve">https://laney.hospitable.rentals/property/luxe-tampa-villa-guest-house-with-resort-vibes#availability</t>
  </si>
  <si>
    <t xml:space="preserve">Resort Style Home on the Second Tee</t>
  </si>
  <si>
    <t xml:space="preserve">Great living space in a beautiful Resort</t>
  </si>
  <si>
    <t xml:space="preserve">https://br.bluepillow.com/search/65cb83223e6d928972f7dd84?dest=bpex&amp;cat=House&amp;lat=27.96204&amp;lng=-82.50444&amp;language=pt</t>
  </si>
  <si>
    <t xml:space="preserve">Central Tampa 2 BR with Resort-Style Amenities</t>
  </si>
  <si>
    <t xml:space="preserve">https://www.vrbo.com/pdp/lo/116000325?MDPCID=VRBO-META.HPA.WEB-ORGANIC.VR</t>
  </si>
  <si>
    <t xml:space="preserve">https://www.expedia.com/Hotel.h116000325.Hotel-Information?mdpcid=META.HPA.WEB-ORGANIC.VR</t>
  </si>
  <si>
    <t xml:space="preserve">2BR Downtown Tampa Resort-Style + Pool</t>
  </si>
  <si>
    <t xml:space="preserve">https://whimstay.com/detail/2BR-Downtown-Tampa-Resort-Style-Pool/100884855?isgoogle=true</t>
  </si>
  <si>
    <t xml:space="preserve">Brightwild Tampa Bay | Vacation Home Management</t>
  </si>
  <si>
    <t xml:space="preserve">Vacation home rental agency</t>
  </si>
  <si>
    <t xml:space="preserve">https://www.brightwild.com/</t>
  </si>
  <si>
    <t xml:space="preserve">The Bark Station Resort and Spa</t>
  </si>
  <si>
    <t xml:space="preserve">Dog day care center</t>
  </si>
  <si>
    <t xml:space="preserve">https://thebarkstationfl.com/home</t>
  </si>
  <si>
    <t xml:space="preserve">Pilar's Pet Resort</t>
  </si>
  <si>
    <t xml:space="preserve">http://www.facebook.com/pilarspetresort</t>
  </si>
  <si>
    <t xml:space="preserve">Bay Paws Pet Resort - Ybor City</t>
  </si>
  <si>
    <t xml:space="preserve">http://www.baypaws.com/</t>
  </si>
  <si>
    <t xml:space="preserve">las vegas</t>
  </si>
  <si>
    <t xml:space="preserve">Palms Inn</t>
  </si>
  <si>
    <t xml:space="preserve">BCT</t>
  </si>
  <si>
    <t xml:space="preserve">Hugh Ash Manor</t>
  </si>
  <si>
    <t xml:space="preserve">John Boy</t>
  </si>
  <si>
    <t xml:space="preserve">TMH MANAGEMENT INC</t>
  </si>
  <si>
    <t xml:space="preserve">White Castle</t>
  </si>
  <si>
    <t xml:space="preserve">https://www.checkinreadystays.com/listings/418311</t>
  </si>
  <si>
    <t xml:space="preserve">closed</t>
  </si>
  <si>
    <t xml:space="preserve">Kobe Japanese Steak House</t>
  </si>
  <si>
    <t xml:space="preserve">Teppanyaki restaurant</t>
  </si>
  <si>
    <t xml:space="preserve">https://kobesteakhouse.com/location/new-tampa/</t>
  </si>
  <si>
    <t xml:space="preserve">Dream Vacation Agency</t>
  </si>
  <si>
    <t xml:space="preserve">http://dreamvacationagency.com/</t>
  </si>
  <si>
    <t xml:space="preserve">Spaw &amp; Play Grooming Resort</t>
  </si>
  <si>
    <t xml:space="preserve">Pet groomer</t>
  </si>
  <si>
    <t xml:space="preserve">https://www.spawandplay.com/</t>
  </si>
  <si>
    <t xml:space="preserve">Book A Tour Caribbean</t>
  </si>
  <si>
    <t xml:space="preserve">Ella at Encore</t>
  </si>
  <si>
    <t xml:space="preserve">https://ellaatencore.com/</t>
  </si>
  <si>
    <t xml:space="preserve">TGT Poker and Racebook</t>
  </si>
  <si>
    <t xml:space="preserve">Casino</t>
  </si>
  <si>
    <t xml:space="preserve">http://www.tgtpoker.com/</t>
  </si>
  <si>
    <t xml:space="preserve">Novus Westshore</t>
  </si>
  <si>
    <t xml:space="preserve">https://www.novuswestshore.com/?utm_source=google&amp;utm_medium=organic&amp;utm_campaign=google-business-profile</t>
  </si>
  <si>
    <t xml:space="preserve">The Towers</t>
  </si>
  <si>
    <t xml:space="preserve">https://www.channelside.com/tampa-fl/channel-district/towers-of-channelside/condominiums/8</t>
  </si>
  <si>
    <t xml:space="preserve">The Retreat at Tampa</t>
  </si>
  <si>
    <t xml:space="preserve">Student housing center</t>
  </si>
  <si>
    <t xml:space="preserve">https://www.retreatatusf.com/?utm_source=GoogleMyBusiness&amp;utm_medium=organic&amp;utm_campaign=GMB</t>
  </si>
  <si>
    <t xml:space="preserve">Jade at Tampa Palms</t>
  </si>
  <si>
    <t xml:space="preserve">Paradise Realty and Investment Group Inc.</t>
  </si>
  <si>
    <t xml:space="preserve">Real estate agency</t>
  </si>
  <si>
    <t xml:space="preserve">http://www.paradiserealtytampa.com/</t>
  </si>
  <si>
    <t xml:space="preserve">Mattress and Furniture Super Center</t>
  </si>
  <si>
    <t xml:space="preserve">Furniture store</t>
  </si>
  <si>
    <t xml:space="preserve">https://www.mattressandfurnituresupercenter.com/</t>
  </si>
  <si>
    <t xml:space="preserve">Timeshare Broker Sales</t>
  </si>
  <si>
    <t xml:space="preserve">http://www.timesharebrokersales.com/</t>
  </si>
  <si>
    <t xml:space="preserve">K-Bar Ranch</t>
  </si>
  <si>
    <t xml:space="preserve">Heritage Isles</t>
  </si>
  <si>
    <t xml:space="preserve">Oasis Motel</t>
  </si>
  <si>
    <t xml:space="preserve">Casa Loma #2 Motel</t>
  </si>
  <si>
    <t xml:space="preserve">DaVita Kennedy Boulevard Dialysis</t>
  </si>
  <si>
    <t xml:space="preserve">Dialysis center</t>
  </si>
  <si>
    <t xml:space="preserve">https://www.davita.com/locations/fl/tampa/2205-w-kennedy-blvd--5161</t>
  </si>
  <si>
    <t xml:space="preserve">Evelyn City Lofts</t>
  </si>
  <si>
    <t xml:space="preserve">https://liveevelyncitylofts.com/?utm_source=Google&amp;utm_medium=profile&amp;utm_campaign=organic&amp;utm_id=organic</t>
  </si>
  <si>
    <t xml:space="preserve">Resort Pool &amp; SPA , Mini Golf , Pool Table, Near Busch Gardens</t>
  </si>
  <si>
    <t xml:space="preserve">Paradise Beach Sailport Resort Condo</t>
  </si>
  <si>
    <t xml:space="preserve">https://www.booking.com/hotel/us/paradise-beach-sailport-resort-condo.en-gb.html?aid=2068758&amp;utm_source=seogooglelocal&amp;utm_medium=description&amp;utm_term=hotel-9164423&amp;utm_campaign=en-gb&amp;label=seogooglelocal-link-imagesaow-hotel-9164423_grp-3_gendate-20260821</t>
  </si>
  <si>
    <t xml:space="preserve">Dolphin Resort</t>
  </si>
  <si>
    <t xml:space="preserve">Bali Resort Home with pool, putting green, golf simulator, game room</t>
  </si>
  <si>
    <t xml:space="preserve">https://www.expedia.com/Hotel.h109657962.Hotel-Information?mdpcid=META.HPA.WEB-ORGANIC.VR</t>
  </si>
  <si>
    <t xml:space="preserve">Bearfoot beach resort</t>
  </si>
  <si>
    <t xml:space="preserve">https://www.expedia.com/Hotel.h72820344.Hotel-Information?mdpcid=META.HPA.WEB-ORGANIC.VR</t>
  </si>
  <si>
    <t xml:space="preserve">Waterfront Resort Condo with Heated Pool</t>
  </si>
  <si>
    <t xml:space="preserve">https://reservation.visitspvr.com/listings/150171?googleVR=1&amp;utm_source=google&amp;utm_medium=vacation_rentals</t>
  </si>
  <si>
    <t xml:space="preserve">Waterfront Resort Condo | Heated Pool, Bar &amp; Grill</t>
  </si>
  <si>
    <t xml:space="preserve">https://book.tampavacationcollection.com/properties/6480ac6de39a1c0041774d7e</t>
  </si>
  <si>
    <t xml:space="preserve">Bayfront Resort Suite | Private Beach &amp; Bay View</t>
  </si>
  <si>
    <t xml:space="preserve">https://book.tampavacationcollection.com/properties/68c81e104721240011593769</t>
  </si>
  <si>
    <t xml:space="preserve">Waterfront Resort Condo w/ Pool</t>
  </si>
  <si>
    <t xml:space="preserve">https://berryblissexperience.hospitable.rentals/property/tampa-bay-getaway-waterfront#availability</t>
  </si>
  <si>
    <t xml:space="preserve">GAVN Ybor Heights</t>
  </si>
  <si>
    <t xml:space="preserve">The Knickerbocker by Delphius</t>
  </si>
  <si>
    <t xml:space="preserve">https://delphius.co/stays/</t>
  </si>
  <si>
    <t xml:space="preserve">Motel Marina</t>
  </si>
  <si>
    <t xml:space="preserve">The Westin Tampa Bay</t>
  </si>
  <si>
    <t xml:space="preserve">https://www.marriott.com/en-us/hotels/tpawi-the-westin-tampa-bay/overview/?scid=f2ae0541-1279-4f24-b197-a979c79310b0</t>
  </si>
  <si>
    <t xml:space="preserve">The Kondo Tiki</t>
  </si>
  <si>
    <t xml:space="preserve">https://bluemoonrentalagency.com/listings/kondotiki/</t>
  </si>
  <si>
    <t xml:space="preserve">Waterfront SailPort Condo · Resort Pool &amp; Beach Access</t>
  </si>
  <si>
    <t xml:space="preserve">Forever Beach View Sailport Resort Condos Tampa</t>
  </si>
  <si>
    <t xml:space="preserve">Forever Beach View, Sailport Resort Condos Tampa!</t>
  </si>
  <si>
    <t xml:space="preserve">Bay Views from your Balcony Beach Resort Tampa</t>
  </si>
  <si>
    <t xml:space="preserve">Hyatt Place Tampa Airport/Westshore</t>
  </si>
  <si>
    <t xml:space="preserve">https://www.hyatt.com/hyatt-place/en-US/tpazw-hyatt-place-tampa-airport-westshore?src=corp_lclb_google_seo_tpazw&amp;utm_source=google&amp;utm_medium=organic&amp;utm_campaign=lmr</t>
  </si>
  <si>
    <t xml:space="preserve">Alton Westshore</t>
  </si>
  <si>
    <t xml:space="preserve">https://www.altonwestshoreapts.com/?rcstdid=Mg%3D%3D-YRjTEizZPgM%3D&amp;utm_source=gmb&amp;utm_medium=organic</t>
  </si>
  <si>
    <t xml:space="preserve">The Emerson On Rocky Point</t>
  </si>
  <si>
    <t xml:space="preserve">https://emersonrockypoint.com/</t>
  </si>
  <si>
    <t xml:space="preserve">Bahama Breeze</t>
  </si>
  <si>
    <t xml:space="preserve">Caribbean restaurant</t>
  </si>
  <si>
    <t xml:space="preserve">https://www.bahamabreeze.com/locations/fl/tampa/tampa/3004?cmpid=br:bb_ag:ie_ch:loc_ca:BBGMB_sn:gmb_gt:tampa-fl-3004_pl:locurl_rd:1004</t>
  </si>
  <si>
    <t xml:space="preserve">Cerca a Busch Gardens</t>
  </si>
  <si>
    <t xml:space="preserve">Antigua Motel by OYO Tampa US - 41</t>
  </si>
  <si>
    <t xml:space="preserve">https://www.oyorooms.com/us/304221/?utm_source=GMB&amp;utm_medium=Organic&amp;utm_campaign=US_TMA015</t>
  </si>
  <si>
    <t xml:space="preserve">Columbia Motel</t>
  </si>
  <si>
    <t xml:space="preserve">https://www.myfloridalicense.com/LicenseDetail.asp?SID=&amp;id=182EC930953AA82BAA58741BE0B6BB8F</t>
  </si>
  <si>
    <t xml:space="preserve">Skyline Limousine Tampa</t>
  </si>
  <si>
    <t xml:space="preserve">Limousine service</t>
  </si>
  <si>
    <t xml:space="preserve">http://skyline-limo.com/</t>
  </si>
  <si>
    <t xml:space="preserve">Luxury, Resort-style 4bedrooms/2.5bathrooms House! with a Large Pool.</t>
  </si>
  <si>
    <t xml:space="preserve">Luxury, Resort-style 4bedrooms /2.5bathrooms House! with a Large Pool.</t>
  </si>
  <si>
    <t xml:space="preserve">Luxe Modern Retreat w/ Resort-Style Pool!</t>
  </si>
  <si>
    <t xml:space="preserve">Bayshore Pet Resort</t>
  </si>
  <si>
    <t xml:space="preserve">http://bayshorepetresort.com/</t>
  </si>
  <si>
    <t xml:space="preserve">Big Bamboo Bayside</t>
  </si>
  <si>
    <t xml:space="preserve">Cafe</t>
  </si>
  <si>
    <t xml:space="preserve">http://www.bigbamboobayside.com/</t>
  </si>
  <si>
    <t xml:space="preserve">TS Resorts and Travel Services</t>
  </si>
  <si>
    <t xml:space="preserve">http://www.tsresortsandtravelservices.com/</t>
  </si>
  <si>
    <t xml:space="preserve">Benchmark international</t>
  </si>
  <si>
    <t xml:space="preserve">End Place</t>
  </si>
  <si>
    <t xml:space="preserve">TAMPA, FH</t>
  </si>
  <si>
    <t xml:space="preserve">Villa de Leon</t>
  </si>
  <si>
    <t xml:space="preserve">http://www.villadeleontampa.com/</t>
  </si>
  <si>
    <t xml:space="preserve">Blue Water Hospitality</t>
  </si>
  <si>
    <t xml:space="preserve">Stay Teal Door</t>
  </si>
  <si>
    <t xml:space="preserve">https://www.staytealdoor.com/</t>
  </si>
  <si>
    <t xml:space="preserve">Breezin Entertainment</t>
  </si>
  <si>
    <t xml:space="preserve">DJ service</t>
  </si>
  <si>
    <t xml:space="preserve">http://www.breezin.com/</t>
  </si>
  <si>
    <t xml:space="preserve">Ready Stays Furnished Housing</t>
  </si>
  <si>
    <t xml:space="preserve">Short term apartment rental agency</t>
  </si>
  <si>
    <t xml:space="preserve">https://readystays.com/</t>
  </si>
  <si>
    <t xml:space="preserve">Life Time</t>
  </si>
  <si>
    <t xml:space="preserve">Gym</t>
  </si>
  <si>
    <t xml:space="preserve">https://www.lifetime.life/locations/fl/harbour-island.html?utm_source=google&amp;utm_medium=local&amp;utm_campaign=google-local-club</t>
  </si>
  <si>
    <t xml:space="preserve">Margaritaville at Sea Islander</t>
  </si>
  <si>
    <t xml:space="preserve">Cruise line company</t>
  </si>
  <si>
    <t xml:space="preserve">https://www.margaritavilleatsea.com/?utm_source=google&amp;utm_medium=organic&amp;utm_campaign=gbp_islander</t>
  </si>
  <si>
    <t xml:space="preserve">VISAGE by ÉLAN</t>
  </si>
  <si>
    <t xml:space="preserve">https://www.visagebyelan.com/</t>
  </si>
  <si>
    <t xml:space="preserve">2 Bayshore Luxury Waterfront Apartments</t>
  </si>
  <si>
    <t xml:space="preserve">https://www.2bayshore.com/?ilm=obl&amp;utm_source=gmb&amp;utm_medium=organic</t>
  </si>
  <si>
    <t xml:space="preserve">Anchor Riverwalk</t>
  </si>
  <si>
    <t xml:space="preserve">https://www.anchorriverwalkapts.com/?utm_source=gmb&amp;utm_medium=organic</t>
  </si>
  <si>
    <t xml:space="preserve">Premium Event Solutions</t>
  </si>
  <si>
    <t xml:space="preserve">Timeshare agency</t>
  </si>
  <si>
    <t xml:space="preserve">http://premiumevents.org/</t>
  </si>
  <si>
    <t xml:space="preserve">Travel Shops US</t>
  </si>
  <si>
    <t xml:space="preserve">https://travelshops.us/</t>
  </si>
  <si>
    <t xml:space="preserve">Arabelle Riverwalk</t>
  </si>
  <si>
    <t xml:space="preserve">https://arabelleriverwalk.com/?funnelleasing=onlinelisting&amp;utm_source=gmb&amp;utm_medium=organic</t>
  </si>
  <si>
    <t xml:space="preserve">Atlantico Suites</t>
  </si>
  <si>
    <t xml:space="preserve">http://www.atlanticosuites.com/contact.html</t>
  </si>
  <si>
    <t xml:space="preserve">Emerald at MetWest</t>
  </si>
  <si>
    <t xml:space="preserve">https://www.emeraldatmetwest.com/?utm_source=gmb&amp;utm_medium=organic</t>
  </si>
  <si>
    <t xml:space="preserve">Olympus Harbour Island</t>
  </si>
  <si>
    <t xml:space="preserve">https://www.olympusharbourisland.com/?utm_knock=g</t>
  </si>
  <si>
    <t xml:space="preserve">Allegro Hyde Park</t>
  </si>
  <si>
    <t xml:space="preserve">Retirement community</t>
  </si>
  <si>
    <t xml:space="preserve">https://www.allegroliving.com/communities/hyde-park-fl?</t>
  </si>
  <si>
    <t xml:space="preserve">H.I. Development Corporation</t>
  </si>
  <si>
    <t xml:space="preserve">Business development service</t>
  </si>
  <si>
    <t xml:space="preserve">http://www.hidevelopment.com/</t>
  </si>
  <si>
    <t xml:space="preserve">Ugo Explore - Dream Vacations</t>
  </si>
  <si>
    <t xml:space="preserve">https://www.ugoexplore.com/</t>
  </si>
  <si>
    <t xml:space="preserve">BevelUp Midtown</t>
  </si>
  <si>
    <t xml:space="preserve">Medical spa</t>
  </si>
  <si>
    <t xml:space="preserve">https://bevelup.com/</t>
  </si>
  <si>
    <t xml:space="preserve">Manor Riverside Apartments</t>
  </si>
  <si>
    <t xml:space="preserve">https://manorriverside.com/?utm_knock=gmb</t>
  </si>
  <si>
    <t xml:space="preserve">Snow Park</t>
  </si>
  <si>
    <t xml:space="preserve">City park</t>
  </si>
  <si>
    <t xml:space="preserve">http://www.tampa.gov/parks</t>
  </si>
  <si>
    <t xml:space="preserve">The Spa at The Tampa EDITION</t>
  </si>
  <si>
    <t xml:space="preserve">https://www.editionhotels.com/tampa/spa-and-fitness/</t>
  </si>
  <si>
    <t xml:space="preserve">Heron</t>
  </si>
  <si>
    <t xml:space="preserve">https://www.heronresidences.com/?utm_source=GoogleLocalListing&amp;utm_medium=organic&amp;utm_campaign=Heron_GoogleLocalListing</t>
  </si>
  <si>
    <t xml:space="preserve">Beach by Everything But Water</t>
  </si>
  <si>
    <t xml:space="preserve">Swimwear store</t>
  </si>
  <si>
    <t xml:space="preserve">https://www.everythingbutwater.com/stores/regions?regionName=southeast</t>
  </si>
  <si>
    <t xml:space="preserve">Birch Haven</t>
  </si>
  <si>
    <t xml:space="preserve">Real estate consultant</t>
  </si>
  <si>
    <t xml:space="preserve">http://www.birchhaven.com/</t>
  </si>
  <si>
    <t xml:space="preserve">Squeeze Massage - South Tampa Midtown</t>
  </si>
  <si>
    <t xml:space="preserve">Massage spa</t>
  </si>
  <si>
    <t xml:space="preserve">https://www.squeezemassage.com/appointment/location/16/more-info/tampa</t>
  </si>
  <si>
    <t xml:space="preserve">Avenida Suites</t>
  </si>
  <si>
    <t xml:space="preserve">http://www.avenidasuites.com/</t>
  </si>
  <si>
    <t xml:space="preserve">Novel Midtown Tampa</t>
  </si>
  <si>
    <t xml:space="preserve">https://liveatmidtowntampa.com/?utm_source=gmb&amp;utm_medium=organic</t>
  </si>
  <si>
    <t xml:space="preserve">The Fitzgerald Channelside</t>
  </si>
  <si>
    <t xml:space="preserve">https://www.fitzgeraldtampafl.com/?utm_source=gmb&amp;utm_medium=organic&amp;lvcode=866233</t>
  </si>
  <si>
    <t xml:space="preserve">The Stevedore</t>
  </si>
  <si>
    <t xml:space="preserve">http://www.thestevedore.com/?utm_source=Yext&amp;utm_medium=Organic&amp;utm_campaign=Organic&amp;y_source=1_MjAzOTE5NzQwMi03MTUtbG9jYXRpb24ud2Vic2l0ZQ%3D%3D</t>
  </si>
  <si>
    <t xml:space="preserve">Mid Florida RV Rentals</t>
  </si>
  <si>
    <t xml:space="preserve">Recreational vehicle rental agency</t>
  </si>
  <si>
    <t xml:space="preserve">https://midfloridarvrental.com/</t>
  </si>
  <si>
    <t xml:space="preserve">Varela Westshore Apartments</t>
  </si>
  <si>
    <t xml:space="preserve">https://varelawestshore.com/?utm_source=google&amp;utm_medium=organic&amp;utm_campaign=google-business-profile</t>
  </si>
  <si>
    <t xml:space="preserve">Nine 15</t>
  </si>
  <si>
    <t xml:space="preserve">https://livenine15.com/?utm_source=gmb&amp;utm_medium=organic</t>
  </si>
  <si>
    <t xml:space="preserve">The Morrison</t>
  </si>
  <si>
    <t xml:space="preserve">https://www.themorrisonsoho.com/</t>
  </si>
  <si>
    <t xml:space="preserve">1BR Tampa Resort Style Retreat with Pool</t>
  </si>
  <si>
    <t xml:space="preserve">https://whimstay.com/detail/1BR-Tampa-Resort-Style-Retreat-with-Pool/100884854?isgoogle=true</t>
  </si>
  <si>
    <t xml:space="preserve">1BR Resort-Style Retreat: Downtown Tampa + Pool</t>
  </si>
  <si>
    <t xml:space="preserve">https://whimstay.com/detail/1BR-Resort-Style-Retreat-Downtown-Tampa-Pool/100884853?isgoogle=true</t>
  </si>
  <si>
    <t xml:space="preserve">Vacayou Wellness Travel</t>
  </si>
  <si>
    <t xml:space="preserve">https://www.vacayou.com/</t>
  </si>
  <si>
    <t xml:space="preserve">THE Estate Tampa</t>
  </si>
  <si>
    <t xml:space="preserve">https://www.theestatetampa.com/</t>
  </si>
  <si>
    <t xml:space="preserve">Cozy Bayshore Retreat With Resort Style Pool, Gym and Free Parking in Tampa!!</t>
  </si>
  <si>
    <t xml:space="preserve">Tulum Resort: Pool Hot Tub Cold Plunge Movie Room</t>
  </si>
  <si>
    <t xml:space="preserve">https://www.expedia.com/Hotel.h120764377.Hotel-Information?mdpcid=META.HPA.WEB-ORGANIC.VR</t>
  </si>
  <si>
    <t xml:space="preserve">https://www.vrbo.com/pdp/lo/120764377?MDPCID=VRBO-META.HPA.WEB-ORGANIC.VR</t>
  </si>
  <si>
    <t xml:space="preserve">Primo Brands Corporation</t>
  </si>
  <si>
    <t xml:space="preserve">Corporate office</t>
  </si>
  <si>
    <t xml:space="preserve">https://www.primobrands.com/?y_source=1_NzQ2MjE2NDMtNzE1LWxvY2F0aW9uLndlYnNpdGU%3D</t>
  </si>
  <si>
    <t xml:space="preserve">The MAV</t>
  </si>
  <si>
    <t xml:space="preserve">https://themavchannelside.com/?rccustomid=NTg4NzE%3D-3TNVZ66Il1o%3D&amp;utm_source=gmb&amp;utm_medium=organic</t>
  </si>
  <si>
    <t xml:space="preserve">Casablanca of Hyde Park Furnished Apartments</t>
  </si>
  <si>
    <t xml:space="preserve">Furnished apartment building</t>
  </si>
  <si>
    <t xml:space="preserve">http://casablancahydepark.com/</t>
  </si>
  <si>
    <t xml:space="preserve">Cora</t>
  </si>
  <si>
    <t xml:space="preserve">https://www.coraresidences.com/?utm_source=GoogleLocalListing&amp;utm_medium=organic&amp;utm_campaign=Cora_GoogleLocalListing</t>
  </si>
  <si>
    <t xml:space="preserve">NoHo Flats</t>
  </si>
  <si>
    <t xml:space="preserve">https://www.nohoflats.com/?utm_source=GoogleLocalListing&amp;utm_medium=organic</t>
  </si>
  <si>
    <t xml:space="preserve">Fiesta 360 Photo Booths Tampa</t>
  </si>
  <si>
    <t xml:space="preserve">Photo booth</t>
  </si>
  <si>
    <t xml:space="preserve">http://www.thefiesta360.com/</t>
  </si>
  <si>
    <t xml:space="preserve">Gulf Atlantic Cottages, LLC</t>
  </si>
  <si>
    <t xml:space="preserve">Modular home builder</t>
  </si>
  <si>
    <t xml:space="preserve">https://gulfatlanticcottages.com/</t>
  </si>
  <si>
    <t xml:space="preserve">Navara Apartments</t>
  </si>
  <si>
    <t xml:space="preserve">https://www.navaratampa.com/?utm_source=gmb&amp;utm_medium=organic</t>
  </si>
  <si>
    <t xml:space="preserve">AVE Tampa Riverwalk</t>
  </si>
  <si>
    <t xml:space="preserve">https://www.aveliving.com/locations/tampa-florida/tampa-riverwalk/?utm_source=Search+Engine&amp;utm_medium=organic&amp;utm_campaign=website</t>
  </si>
  <si>
    <t xml:space="preserve">Visconti at Westshore</t>
  </si>
  <si>
    <t xml:space="preserve">http://www.viscontiatwestshore.com/</t>
  </si>
  <si>
    <t xml:space="preserve">Sunni Spencer</t>
  </si>
  <si>
    <t xml:space="preserve">Women's clothing store</t>
  </si>
  <si>
    <t xml:space="preserve">http://sunnispencer.com/</t>
  </si>
  <si>
    <t xml:space="preserve">AER Apartments</t>
  </si>
  <si>
    <t xml:space="preserve">https://aertampa.com/</t>
  </si>
  <si>
    <t xml:space="preserve">Beach Flats</t>
  </si>
  <si>
    <t xml:space="preserve">https://www.inicio-living.com/beach-flats/</t>
  </si>
  <si>
    <t xml:space="preserve">Pierhouse at Channelside</t>
  </si>
  <si>
    <t xml:space="preserve">https://www.pierhousetampa.com/?utm_source=gmb&amp;utm_medium=organic</t>
  </si>
  <si>
    <t xml:space="preserve">LongHorn Steakhouse</t>
  </si>
  <si>
    <t xml:space="preserve">Steak house</t>
  </si>
  <si>
    <t xml:space="preserve">https://www.longhornsteakhouse.com/locations/fl/tampa/tampa-west-shore/5517?cmpid=br:lh_ag:ie_ch:loc_ca:LHGMB_sn:gmb_gt:tampa-fl-5517_pl:locurl_rd:1451</t>
  </si>
  <si>
    <t xml:space="preserve">Free Parking - Pool - Bayshore Resort-Style 2BD</t>
  </si>
  <si>
    <t xml:space="preserve">The Lash Resort and Brow Studio</t>
  </si>
  <si>
    <t xml:space="preserve">Eyelash salon</t>
  </si>
  <si>
    <t xml:space="preserve">http://www.lashresorttampa.com/</t>
  </si>
  <si>
    <t xml:space="preserve">Tampa Bay Ski Club</t>
  </si>
  <si>
    <t xml:space="preserve">https://tampabayskiclub.com/index.html</t>
  </si>
  <si>
    <t xml:space="preserve">NOVEL Beach Park by Crescent Communities</t>
  </si>
  <si>
    <t xml:space="preserve">https://www.novelbeachpark.com/?utm_knock=ll&amp;utm_source=GoogleLocalListing&amp;utm_medium=organic&amp;utm_campaign=NOVELBeachParkbyCrescentCommunities_GoogleLocalListing</t>
  </si>
  <si>
    <t xml:space="preserve">West Shore Pools and Outdoor Living, LLC</t>
  </si>
  <si>
    <t xml:space="preserve">Swimming pool contractor</t>
  </si>
  <si>
    <t xml:space="preserve">https://westshorecustompools.com/</t>
  </si>
  <si>
    <t xml:space="preserve">Exeter International</t>
  </si>
  <si>
    <t xml:space="preserve">Tour agency</t>
  </si>
  <si>
    <t xml:space="preserve">http://www.exeterinternational.com/</t>
  </si>
  <si>
    <t xml:space="preserve">South Pointe</t>
  </si>
  <si>
    <t xml:space="preserve">https://rent.brookfieldproperties.com/property/south-pointe/?utm_campaign=gmb&amp;utm_medium=organic&amp;utm_source=local</t>
  </si>
  <si>
    <t xml:space="preserve">Landscape Fusion</t>
  </si>
  <si>
    <t xml:space="preserve">https://www.landscape-fusion.com/?utm_source=google&amp;utm_medium=local</t>
  </si>
  <si>
    <t xml:space="preserve">Casa Bel-Mar</t>
  </si>
  <si>
    <t xml:space="preserve">https://www.casabel-mar.com/?utm_knock=orgs</t>
  </si>
  <si>
    <t xml:space="preserve">Culbreath Key Condominiums</t>
  </si>
  <si>
    <t xml:space="preserve">4800 Westshore</t>
  </si>
  <si>
    <t xml:space="preserve">https://www.robbinspropertyllc.com/apartments/fl/tampa/4800-westshore/?utm_source=gbp&amp;utm_medium=organic&amp;utm_knock=g&amp;cpm=gbp</t>
  </si>
  <si>
    <t xml:space="preserve">GSNP HOTELS</t>
  </si>
  <si>
    <t xml:space="preserve">Property management company</t>
  </si>
  <si>
    <t xml:space="preserve">https://www.gsnphotels.com/</t>
  </si>
  <si>
    <t xml:space="preserve">Dale Nabors</t>
  </si>
  <si>
    <t xml:space="preserve">Real estate agent</t>
  </si>
  <si>
    <t xml:space="preserve">http://www.dalenabors.com/</t>
  </si>
  <si>
    <t xml:space="preserve">Havana Square Apartments</t>
  </si>
  <si>
    <t xml:space="preserve">https://www.havanasquaretampa.com/?utm_source=Homes%20eo&amp;utm_medium=googlepost&amp;utm_campaign=aseogooglemybusinesspost</t>
  </si>
  <si>
    <t xml:space="preserve">Garden View</t>
  </si>
  <si>
    <t xml:space="preserve">SoHo Hyde Park Rental Units</t>
  </si>
  <si>
    <t xml:space="preserve">Agmc llc</t>
  </si>
  <si>
    <t xml:space="preserve">Treasure island</t>
  </si>
  <si>
    <t xml:space="preserve">Destination Historic Tampa</t>
  </si>
  <si>
    <t xml:space="preserve">Vacation Rental</t>
  </si>
  <si>
    <t xml:space="preserve">Full Nude</t>
  </si>
  <si>
    <t xml:space="preserve">Crunch Fitness - Hillsborough</t>
  </si>
  <si>
    <t xml:space="preserve">https://www.crunch.com/locations/hillsborough</t>
  </si>
  <si>
    <t xml:space="preserve">2 Mi to Busch Gardens: Pet-friendly Tampa Home</t>
  </si>
  <si>
    <t xml:space="preserve">Seaside Luxury Oasis with balcony</t>
  </si>
  <si>
    <t xml:space="preserve">Tropical 3BR Suite-2 resort style pools-5 Mil to Bay-Gym-Close to Beach</t>
  </si>
  <si>
    <t xml:space="preserve">https://br.bluepillow.com/search/627d265cdf4f49af9b34a6b8?dest=bkng&amp;cat=House&amp;lat=27.87161&amp;lng=-82.52921&amp;language=pt</t>
  </si>
  <si>
    <t xml:space="preserve">Legend Oaks</t>
  </si>
  <si>
    <t xml:space="preserve">https://www.robbinspropertyllc.com/apartments/fl/tampa/legend-oaks/?utm_source=gbp&amp;utm_medium=organic&amp;utm_knock=g&amp;cpm=gbp</t>
  </si>
  <si>
    <t xml:space="preserve">RumFish Grill</t>
  </si>
  <si>
    <t xml:space="preserve">Seafood restaurant</t>
  </si>
  <si>
    <t xml:space="preserve">https://rumfishgrill.com/</t>
  </si>
  <si>
    <t xml:space="preserve">Grady Square Apartments</t>
  </si>
  <si>
    <t xml:space="preserve">https://www.gradysquare.com/?utm_source=Google&amp;utm_medium=Yext</t>
  </si>
  <si>
    <t xml:space="preserve">Dr. Saihari Sadanandan, MD</t>
  </si>
  <si>
    <t xml:space="preserve">Cardiologist</t>
  </si>
  <si>
    <t xml:space="preserve">https://tampacardiovascular.com/</t>
  </si>
  <si>
    <t xml:space="preserve">Natura Bissé x BevelUp</t>
  </si>
  <si>
    <t xml:space="preserve">https://www.naturabisse.com/us/en/home?utm_source=google-maps&amp;utm_medium=organic&amp;utm_campaign=us_always-on&amp;utm_content=BevelUp</t>
  </si>
  <si>
    <t xml:space="preserve">Resort Style Oasis w/ Pool for Groups &amp; Retreats in Tampa's Coolest Neighborhood</t>
  </si>
  <si>
    <t xml:space="preserve">Modern space in the heart of Tampa</t>
  </si>
  <si>
    <t xml:space="preserve">Belara</t>
  </si>
  <si>
    <t xml:space="preserve">https://www.belaralakesapartments.com/</t>
  </si>
  <si>
    <t xml:space="preserve">Kindred Hospital Central Tampa</t>
  </si>
  <si>
    <t xml:space="preserve">Hospital</t>
  </si>
  <si>
    <t xml:space="preserve">https://www.kindredhospitals.com/locations/florida/central-tampa</t>
  </si>
  <si>
    <t xml:space="preserve">Park Motel</t>
  </si>
  <si>
    <t xml:space="preserve">Spa Sudeva</t>
  </si>
  <si>
    <t xml:space="preserve">Beauty salon</t>
  </si>
  <si>
    <t xml:space="preserve">http://www.spasudeva.com/</t>
  </si>
  <si>
    <t xml:space="preserve">Monte Carlo Towers</t>
  </si>
  <si>
    <t xml:space="preserve">https://www.channelside.com/tampa-fl/bayshore-beautiful/monte-carlo-towers/condominiums/61</t>
  </si>
  <si>
    <t xml:space="preserve">Grove Soho</t>
  </si>
  <si>
    <t xml:space="preserve">Bar</t>
  </si>
  <si>
    <t xml:space="preserve">https://www.grovesoho.com/</t>
  </si>
  <si>
    <t xml:space="preserve">Adalia Bay Front Condominiums</t>
  </si>
  <si>
    <t xml:space="preserve">Hyde Park House</t>
  </si>
  <si>
    <t xml:space="preserve">The Atrium on the Bayshore</t>
  </si>
  <si>
    <t xml:space="preserve">http://www.highrises.com/tampa/atrium/</t>
  </si>
  <si>
    <t xml:space="preserve">SB Health &amp; Beauty Med Spa</t>
  </si>
  <si>
    <t xml:space="preserve">http://www.sbspa.com/</t>
  </si>
  <si>
    <t xml:space="preserve">Spa by JW</t>
  </si>
  <si>
    <t xml:space="preserve">https://www.marriott.com/en-us/hotels/tpajd-jw-marriott-tampa-water-street/experiences/?scid=feed67b0-9a2f-4de1-8df6-114544116108</t>
  </si>
  <si>
    <t xml:space="preserve">Davis Islands Garden Club</t>
  </si>
  <si>
    <t xml:space="preserve">Event venue</t>
  </si>
  <si>
    <t xml:space="preserve">http://www.digclub.org/</t>
  </si>
  <si>
    <t xml:space="preserve">The Castle</t>
  </si>
  <si>
    <t xml:space="preserve">Night club</t>
  </si>
  <si>
    <t xml:space="preserve">http://castleybor.com/</t>
  </si>
  <si>
    <t xml:space="preserve">345 Bayshore Condominiums</t>
  </si>
  <si>
    <t xml:space="preserve">Bayshore Diplomat Condominium</t>
  </si>
  <si>
    <t xml:space="preserve">http://www.highrises.com/tampa/the-diplomat/</t>
  </si>
  <si>
    <t xml:space="preserve">Madison At Soho</t>
  </si>
  <si>
    <t xml:space="preserve">Stovall On Bayshore Condominiums</t>
  </si>
  <si>
    <t xml:space="preserve">Hyde Park Travel</t>
  </si>
  <si>
    <t xml:space="preserve">http://www.hydeparktravel.com/</t>
  </si>
  <si>
    <t xml:space="preserve">Aurora Apartments</t>
  </si>
  <si>
    <t xml:space="preserve">https://www.theauroradowntown.com/?utm_source=Google&amp;utm_medium=Yext</t>
  </si>
  <si>
    <t xml:space="preserve">Breezin' Weddings</t>
  </si>
  <si>
    <t xml:space="preserve">Wedding planner</t>
  </si>
  <si>
    <t xml:space="preserve">https://breezinweddings.com/</t>
  </si>
  <si>
    <t xml:space="preserve">Hut Realty LLC</t>
  </si>
  <si>
    <t xml:space="preserve">https://hutteam.com/</t>
  </si>
  <si>
    <t xml:space="preserve">Agile Group Realty</t>
  </si>
  <si>
    <t xml:space="preserve">http://www.agilegrouprealty.com/</t>
  </si>
  <si>
    <t xml:space="preserve">Beach Park Animal Clinic</t>
  </si>
  <si>
    <t xml:space="preserve">Veterinarian</t>
  </si>
  <si>
    <t xml:space="preserve">https://beachparkanimalclinic.com/</t>
  </si>
  <si>
    <t xml:space="preserve">Keller Williams South Tampa</t>
  </si>
  <si>
    <t xml:space="preserve">http://www.kwsouthtampa.com/</t>
  </si>
  <si>
    <t xml:space="preserve">Cat Doctors</t>
  </si>
  <si>
    <t xml:space="preserve">https://catdoctors.info/</t>
  </si>
  <si>
    <t xml:space="preserve">Tampa Veterinary Hospital</t>
  </si>
  <si>
    <t xml:space="preserve">https://www.tampavet.com/?utm_source=gmb&amp;utm_medium=organic</t>
  </si>
  <si>
    <t xml:space="preserve">Salon Lofts</t>
  </si>
  <si>
    <t xml:space="preserve">https://salonlofts.com/salons/s_dale_mabry?utm_source=apple_maps&amp;utm_medium=organic&amp;utm_campaign=yext</t>
  </si>
  <si>
    <t xml:space="preserve">Yacht StarShip Cruises &amp; Events</t>
  </si>
  <si>
    <t xml:space="preserve">https://www.yachtstarship.com/</t>
  </si>
  <si>
    <t xml:space="preserve">The Plaza Harbour Island</t>
  </si>
  <si>
    <t xml:space="preserve">https://www.channelside.com/tampa-fl/harbour-island/the-plaza-harbour-island/condominiums/1</t>
  </si>
  <si>
    <t xml:space="preserve">Paws 'n' Rec - Lemon</t>
  </si>
  <si>
    <t xml:space="preserve">https://www.pawsnrec.com/location/florida/downtown-tampa/?utm_source=GBP&amp;utm_medium=local&amp;utm_campaign=lemon</t>
  </si>
  <si>
    <t xml:space="preserve">SkyPoint Condominiums</t>
  </si>
  <si>
    <t xml:space="preserve">http://skypointresidents.com/</t>
  </si>
  <si>
    <t xml:space="preserve">Royal Caribbean Cruise Terminal Tampa Bay</t>
  </si>
  <si>
    <t xml:space="preserve">Cruise terminal</t>
  </si>
  <si>
    <t xml:space="preserve">https://www.royalcaribbean.com/faq/questions/driving-directions-port-tampa-florida</t>
  </si>
  <si>
    <t xml:space="preserve">Reservoir Bar</t>
  </si>
  <si>
    <t xml:space="preserve">http://www.resbarybor.com/</t>
  </si>
  <si>
    <t xml:space="preserve">The Place At Channelside</t>
  </si>
  <si>
    <t xml:space="preserve">https://www.channelside.com/tampa-fl/channel-district/the-place-at-channelside/condominiums/5</t>
  </si>
  <si>
    <t xml:space="preserve">Grand Central at Kennedy</t>
  </si>
  <si>
    <t xml:space="preserve">http://www.grandcentralatkennedy.com/</t>
  </si>
  <si>
    <t xml:space="preserve">Ghost Party Haunted Tours</t>
  </si>
  <si>
    <t xml:space="preserve">Tour operator</t>
  </si>
  <si>
    <t xml:space="preserve">https://ghost-party.com/</t>
  </si>
  <si>
    <t xml:space="preserve">The GrandView of Tampa Condominium Association</t>
  </si>
  <si>
    <t xml:space="preserve">Homeowners' association</t>
  </si>
  <si>
    <t xml:space="preserve">http://gulf.place/thegrandview</t>
  </si>
  <si>
    <t xml:space="preserve">The Quarter At Ybor</t>
  </si>
  <si>
    <t xml:space="preserve">https://quarteratybor.org/</t>
  </si>
  <si>
    <t xml:space="preserve">The Slade at Channelside</t>
  </si>
  <si>
    <t xml:space="preserve">https://www.udr.com/tampa-apartments/tampa/the-slade-at-channelside</t>
  </si>
  <si>
    <t xml:space="preserve">Harbour Place City Homes</t>
  </si>
  <si>
    <t xml:space="preserve">https://harbourplacecityhomescondo.connectresident.com/</t>
  </si>
  <si>
    <t xml:space="preserve">Box Factory Lofts</t>
  </si>
  <si>
    <t xml:space="preserve">http://www.condominiumassociates.com/</t>
  </si>
  <si>
    <t xml:space="preserve">La Unión Apartments</t>
  </si>
  <si>
    <t xml:space="preserve">https://www.launionliving.com/?y_source=1_MTA0MjA1OTM0OC03MTUtbG9jYXRpb24ud2Vic2l0ZQ%3D%3D</t>
  </si>
  <si>
    <t xml:space="preserve">Island Suites</t>
  </si>
  <si>
    <t xml:space="preserve">Virage Bayshore</t>
  </si>
  <si>
    <t xml:space="preserve">http://www.viragebayshore.com/</t>
  </si>
  <si>
    <t xml:space="preserve">Spoil Me Dog Spa</t>
  </si>
  <si>
    <t xml:space="preserve">http://www.spoilmedogspa.com/</t>
  </si>
  <si>
    <t xml:space="preserve">Tampa Bay Real Estate Company</t>
  </si>
  <si>
    <t xml:space="preserve">https://www.tampabayrealestatecompany.com/</t>
  </si>
  <si>
    <t xml:space="preserve">McKibbon Hospitality</t>
  </si>
  <si>
    <t xml:space="preserve">http://www.mckibbon.com/</t>
  </si>
  <si>
    <t xml:space="preserve">Villa Sonoma Condominiums at International Plaza</t>
  </si>
  <si>
    <t xml:space="preserve">https://condominiumassociates.com/</t>
  </si>
  <si>
    <t xml:space="preserve">Redfin</t>
  </si>
  <si>
    <t xml:space="preserve">https://www.redfin.com/city/18142/FL/Tampa/real-estate/agents?utm_source=gmb&amp;utm_medium=organic&amp;utm_campaign=gmb-tampa-fl</t>
  </si>
  <si>
    <t xml:space="preserve">Bahia International Realty</t>
  </si>
  <si>
    <t xml:space="preserve">https://www.tamparealestatelink.com/</t>
  </si>
  <si>
    <t xml:space="preserve">Aerial Dragons Studios</t>
  </si>
  <si>
    <t xml:space="preserve">Circus</t>
  </si>
  <si>
    <t xml:space="preserve">https://www.aerialdragonsstudios.com/</t>
  </si>
  <si>
    <t xml:space="preserve">TeamViewer US, Inc.</t>
  </si>
  <si>
    <t xml:space="preserve">http://www.teamviewer.com/</t>
  </si>
  <si>
    <t xml:space="preserve">Coldwell Banker Realty</t>
  </si>
  <si>
    <t xml:space="preserve">http://www.coldwellbankerhomes.com/</t>
  </si>
  <si>
    <t xml:space="preserve">Palm Island Realty Property Management</t>
  </si>
  <si>
    <t xml:space="preserve">https://www.flrentsource.com/</t>
  </si>
  <si>
    <t xml:space="preserve">3 Mi to Dtwn: Tampa Cottage w/ Fire Pit!</t>
  </si>
  <si>
    <t xml:space="preserve">Lombardo Team Real Estate</t>
  </si>
  <si>
    <t xml:space="preserve">http://lombardoteam.com/</t>
  </si>
  <si>
    <t xml:space="preserve">Ybor Lofts</t>
  </si>
  <si>
    <t xml:space="preserve">http://www.theyborlofts.com/</t>
  </si>
  <si>
    <t xml:space="preserve">McDonald's</t>
  </si>
  <si>
    <t xml:space="preserve">Fast food restaurant</t>
  </si>
  <si>
    <t xml:space="preserve">https://www.mcdonalds.com/us/en-us/location/FL/TAMPA/2006-50TH-ST/5470.html?cid=RF:YXT:GMB::Clicks</t>
  </si>
  <si>
    <t xml:space="preserve">Society Westshore Apartments</t>
  </si>
  <si>
    <t xml:space="preserve">https://www.societywestshore.com/?rcstdid=Mg%3D%3D-YRjTEizZPgM%3D</t>
  </si>
  <si>
    <t xml:space="preserve">Our Little Suitcase</t>
  </si>
  <si>
    <t xml:space="preserve">Baby store</t>
  </si>
  <si>
    <t xml:space="preserve">https://ourlittlesuitcase.com/</t>
  </si>
  <si>
    <t xml:space="preserve">One Laurel Place Condominiums</t>
  </si>
  <si>
    <t xml:space="preserve">IGD Hospitality, Inc</t>
  </si>
  <si>
    <t xml:space="preserve">http://www.theigdgroup.com/</t>
  </si>
  <si>
    <t xml:space="preserve">Family Dollar</t>
  </si>
  <si>
    <t xml:space="preserve">Dollar store</t>
  </si>
  <si>
    <t xml:space="preserve">https://locations.familydollar.com/fl/tampa/2503-north-tampa-street?utm_source=google&amp;utm_medium=organic&amp;utm_campaign=maps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</si>
</sst>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%"/>
    <numFmt numFmtId="168" formatCode="yyyy\-mm\-dd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A1A1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4B4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CC2"/>
      </left>
      <right style="thin">
        <color rgb="FFB8BCC2"/>
      </right>
      <top style="thin">
        <color rgb="FFB8BCC2"/>
      </top>
      <bottom style="thin">
        <color rgb="FFB8BC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10"/>
      </font>
    </dxf>
    <dxf>
      <font>
        <name val="Arial"/>
        <charset val="1"/>
        <family val="0"/>
        <strike val="1"/>
        <color rgb="FFA6A6A6"/>
        <sz val="10"/>
      </font>
    </dxf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8BCC2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4B4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20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42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19" min="19" style="0" width="7"/>
    <col collapsed="false" customWidth="true" hidden="false" outlineLevel="0" max="20" min="20" style="0" width="18"/>
    <col collapsed="false" customWidth="true" hidden="false" outlineLevel="0" max="21" min="21" style="0" width="28"/>
    <col collapsed="false" customWidth="true" hidden="false" outlineLevel="0" max="22" min="22" style="0" width="8"/>
    <col collapsed="false" customWidth="true" hidden="false" outlineLevel="0" max="23" min="23" style="0" width="10"/>
    <col collapsed="false" customWidth="true" hidden="false" outlineLevel="0" max="24" min="24" style="0" width="13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20"/>
    <col collapsed="false" customWidth="true" hidden="false" outlineLevel="0" max="28" min="28" style="0" width="14"/>
    <col collapsed="false" customWidth="true" hidden="false" outlineLevel="0" max="29" min="29" style="0" width="16"/>
    <col collapsed="false" customWidth="true" hidden="false" outlineLevel="0" max="30" min="30" style="0" width="26"/>
    <col collapsed="false" customWidth="true" hidden="false" outlineLevel="0" max="31" min="31" style="0" width="12"/>
    <col collapsed="false" customWidth="true" hidden="false" outlineLevel="0" max="32" min="32" style="0" width="4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 t="n">
        <v>1</v>
      </c>
      <c r="G2" s="2" t="n">
        <v>85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  <c r="N2" s="2"/>
      <c r="O2" s="3" t="n">
        <v>4.2</v>
      </c>
      <c r="P2" s="4" t="n">
        <v>1054</v>
      </c>
      <c r="Q2" s="5" t="n">
        <v>0.113</v>
      </c>
      <c r="R2" s="2" t="s">
        <v>37</v>
      </c>
      <c r="S2" s="4" t="n">
        <v>1000</v>
      </c>
      <c r="T2" s="2" t="s">
        <v>38</v>
      </c>
      <c r="U2" s="2" t="s">
        <v>39</v>
      </c>
      <c r="V2" s="2"/>
      <c r="W2" s="2" t="s">
        <v>40</v>
      </c>
      <c r="X2" s="2" t="s">
        <v>41</v>
      </c>
      <c r="Y2" s="2" t="n">
        <v>0</v>
      </c>
      <c r="Z2" s="2"/>
      <c r="AA2" s="2"/>
      <c r="AB2" s="2"/>
      <c r="AC2" s="2"/>
      <c r="AD2" s="2"/>
      <c r="AE2" s="6"/>
      <c r="AF2" s="7"/>
    </row>
    <row r="3" customFormat="false" ht="15" hidden="false" customHeight="false" outlineLevel="0" collapsed="false">
      <c r="A3" s="2"/>
      <c r="B3" s="2"/>
      <c r="C3" s="2"/>
      <c r="D3" s="2"/>
      <c r="E3" s="2"/>
      <c r="F3" s="2" t="n">
        <v>2</v>
      </c>
      <c r="G3" s="2" t="n">
        <v>82</v>
      </c>
      <c r="H3" s="2" t="s">
        <v>42</v>
      </c>
      <c r="I3" s="2" t="s">
        <v>43</v>
      </c>
      <c r="J3" s="2" t="s">
        <v>44</v>
      </c>
      <c r="K3" s="2" t="s">
        <v>45</v>
      </c>
      <c r="L3" s="2"/>
      <c r="M3" s="2"/>
      <c r="N3" s="2"/>
      <c r="O3" s="3" t="n">
        <v>3.6</v>
      </c>
      <c r="P3" s="4" t="n">
        <v>133</v>
      </c>
      <c r="Q3" s="5" t="n">
        <v>0.226</v>
      </c>
      <c r="R3" s="2" t="s">
        <v>37</v>
      </c>
      <c r="S3" s="4" t="n">
        <v>17</v>
      </c>
      <c r="T3" s="2" t="s">
        <v>46</v>
      </c>
      <c r="U3" s="2" t="s">
        <v>47</v>
      </c>
      <c r="V3" s="2"/>
      <c r="W3" s="2" t="s">
        <v>48</v>
      </c>
      <c r="X3" s="2" t="s">
        <v>41</v>
      </c>
      <c r="Y3" s="2" t="n">
        <v>0</v>
      </c>
      <c r="Z3" s="2"/>
      <c r="AA3" s="2"/>
      <c r="AB3" s="2"/>
      <c r="AC3" s="2"/>
      <c r="AD3" s="2"/>
      <c r="AE3" s="6"/>
      <c r="AF3" s="7"/>
    </row>
    <row r="4" customFormat="false" ht="15" hidden="false" customHeight="false" outlineLevel="0" collapsed="false">
      <c r="A4" s="2"/>
      <c r="B4" s="2"/>
      <c r="C4" s="2"/>
      <c r="D4" s="2"/>
      <c r="E4" s="2"/>
      <c r="F4" s="2" t="n">
        <v>3</v>
      </c>
      <c r="G4" s="2" t="n">
        <v>82</v>
      </c>
      <c r="H4" s="2" t="s">
        <v>49</v>
      </c>
      <c r="I4" s="2" t="s">
        <v>50</v>
      </c>
      <c r="J4" s="2" t="s">
        <v>51</v>
      </c>
      <c r="K4" s="2" t="s">
        <v>45</v>
      </c>
      <c r="L4" s="2"/>
      <c r="M4" s="2"/>
      <c r="N4" s="2"/>
      <c r="O4" s="3" t="n">
        <v>3.5</v>
      </c>
      <c r="P4" s="4" t="n">
        <v>70</v>
      </c>
      <c r="Q4" s="5" t="n">
        <v>0.243</v>
      </c>
      <c r="R4" s="2" t="s">
        <v>37</v>
      </c>
      <c r="S4" s="4" t="n">
        <v>6</v>
      </c>
      <c r="T4" s="2" t="s">
        <v>52</v>
      </c>
      <c r="U4" s="2" t="s">
        <v>53</v>
      </c>
      <c r="V4" s="2"/>
      <c r="W4" s="2" t="s">
        <v>54</v>
      </c>
      <c r="X4" s="2" t="s">
        <v>41</v>
      </c>
      <c r="Y4" s="2" t="n">
        <v>0</v>
      </c>
      <c r="Z4" s="2"/>
      <c r="AA4" s="2"/>
      <c r="AB4" s="2"/>
      <c r="AC4" s="2"/>
      <c r="AD4" s="2"/>
      <c r="AE4" s="6"/>
      <c r="AF4" s="7"/>
    </row>
    <row r="5" customFormat="false" ht="15" hidden="false" customHeight="false" outlineLevel="0" collapsed="false">
      <c r="A5" s="2"/>
      <c r="B5" s="2"/>
      <c r="C5" s="2"/>
      <c r="D5" s="2"/>
      <c r="E5" s="2"/>
      <c r="F5" s="2" t="n">
        <v>4</v>
      </c>
      <c r="G5" s="2" t="n">
        <v>77</v>
      </c>
      <c r="H5" s="2" t="s">
        <v>55</v>
      </c>
      <c r="I5" s="2" t="s">
        <v>50</v>
      </c>
      <c r="J5" s="2" t="s">
        <v>56</v>
      </c>
      <c r="K5" s="2" t="s">
        <v>45</v>
      </c>
      <c r="L5" s="2"/>
      <c r="M5" s="2"/>
      <c r="N5" s="2"/>
      <c r="O5" s="3" t="n">
        <v>3.1</v>
      </c>
      <c r="P5" s="4" t="n">
        <v>138</v>
      </c>
      <c r="Q5" s="5" t="n">
        <v>0.377</v>
      </c>
      <c r="R5" s="2" t="s">
        <v>37</v>
      </c>
      <c r="S5" s="4" t="n">
        <v>21</v>
      </c>
      <c r="T5" s="2" t="s">
        <v>57</v>
      </c>
      <c r="U5" s="2" t="s">
        <v>58</v>
      </c>
      <c r="V5" s="2"/>
      <c r="W5" s="2" t="s">
        <v>59</v>
      </c>
      <c r="X5" s="2" t="s">
        <v>41</v>
      </c>
      <c r="Y5" s="2" t="n">
        <v>0</v>
      </c>
      <c r="Z5" s="2"/>
      <c r="AA5" s="2"/>
      <c r="AB5" s="2"/>
      <c r="AC5" s="2"/>
      <c r="AD5" s="2"/>
      <c r="AE5" s="6"/>
      <c r="AF5" s="7"/>
    </row>
    <row r="6" customFormat="false" ht="15" hidden="false" customHeight="false" outlineLevel="0" collapsed="false">
      <c r="A6" s="2"/>
      <c r="B6" s="2"/>
      <c r="C6" s="2"/>
      <c r="D6" s="2"/>
      <c r="E6" s="2"/>
      <c r="F6" s="2" t="n">
        <v>5</v>
      </c>
      <c r="G6" s="2" t="n">
        <v>77</v>
      </c>
      <c r="H6" s="2" t="s">
        <v>60</v>
      </c>
      <c r="I6" s="2" t="s">
        <v>43</v>
      </c>
      <c r="J6" s="2" t="s">
        <v>61</v>
      </c>
      <c r="K6" s="2" t="s">
        <v>45</v>
      </c>
      <c r="L6" s="2"/>
      <c r="M6" s="2"/>
      <c r="N6" s="2"/>
      <c r="O6" s="3" t="n">
        <v>3.1</v>
      </c>
      <c r="P6" s="4" t="n">
        <v>111</v>
      </c>
      <c r="Q6" s="5" t="n">
        <v>0.396</v>
      </c>
      <c r="R6" s="2" t="s">
        <v>37</v>
      </c>
      <c r="S6" s="4" t="n">
        <v>14</v>
      </c>
      <c r="T6" s="2" t="s">
        <v>46</v>
      </c>
      <c r="U6" s="2" t="s">
        <v>62</v>
      </c>
      <c r="V6" s="2"/>
      <c r="W6" s="2" t="s">
        <v>63</v>
      </c>
      <c r="X6" s="2" t="s">
        <v>41</v>
      </c>
      <c r="Y6" s="2" t="n">
        <v>0</v>
      </c>
      <c r="Z6" s="2"/>
      <c r="AA6" s="2"/>
      <c r="AB6" s="2"/>
      <c r="AC6" s="2"/>
      <c r="AD6" s="2"/>
      <c r="AE6" s="6"/>
      <c r="AF6" s="7"/>
    </row>
    <row r="7" customFormat="false" ht="15" hidden="false" customHeight="false" outlineLevel="0" collapsed="false">
      <c r="A7" s="2"/>
      <c r="B7" s="2"/>
      <c r="C7" s="2"/>
      <c r="D7" s="2"/>
      <c r="E7" s="2"/>
      <c r="F7" s="2" t="n">
        <v>6</v>
      </c>
      <c r="G7" s="2" t="n">
        <v>77</v>
      </c>
      <c r="H7" s="2" t="s">
        <v>64</v>
      </c>
      <c r="I7" s="2" t="s">
        <v>50</v>
      </c>
      <c r="J7" s="2" t="s">
        <v>65</v>
      </c>
      <c r="K7" s="2" t="s">
        <v>45</v>
      </c>
      <c r="L7" s="2"/>
      <c r="M7" s="2"/>
      <c r="N7" s="2"/>
      <c r="O7" s="3" t="n">
        <v>4.1</v>
      </c>
      <c r="P7" s="4" t="n">
        <v>111</v>
      </c>
      <c r="Q7" s="5"/>
      <c r="R7" s="2"/>
      <c r="S7" s="4" t="n">
        <v>6</v>
      </c>
      <c r="T7" s="2" t="s">
        <v>66</v>
      </c>
      <c r="U7" s="2" t="s">
        <v>67</v>
      </c>
      <c r="V7" s="2"/>
      <c r="W7" s="2" t="s">
        <v>68</v>
      </c>
      <c r="X7" s="2" t="s">
        <v>41</v>
      </c>
      <c r="Y7" s="2" t="n">
        <v>0</v>
      </c>
      <c r="Z7" s="2"/>
      <c r="AA7" s="2"/>
      <c r="AB7" s="2"/>
      <c r="AC7" s="2"/>
      <c r="AD7" s="2"/>
      <c r="AE7" s="6"/>
      <c r="AF7" s="7"/>
    </row>
    <row r="8" customFormat="false" ht="15" hidden="false" customHeight="false" outlineLevel="0" collapsed="false">
      <c r="A8" s="2"/>
      <c r="B8" s="2"/>
      <c r="C8" s="2"/>
      <c r="D8" s="2"/>
      <c r="E8" s="2"/>
      <c r="F8" s="2" t="n">
        <v>7</v>
      </c>
      <c r="G8" s="2" t="n">
        <v>77</v>
      </c>
      <c r="H8" s="2" t="s">
        <v>69</v>
      </c>
      <c r="I8" s="2" t="s">
        <v>50</v>
      </c>
      <c r="J8" s="2" t="s">
        <v>70</v>
      </c>
      <c r="K8" s="2" t="s">
        <v>45</v>
      </c>
      <c r="L8" s="2"/>
      <c r="M8" s="2"/>
      <c r="N8" s="2"/>
      <c r="O8" s="3" t="n">
        <v>2.9</v>
      </c>
      <c r="P8" s="4" t="n">
        <v>67</v>
      </c>
      <c r="Q8" s="5" t="n">
        <v>0.448</v>
      </c>
      <c r="R8" s="2" t="s">
        <v>37</v>
      </c>
      <c r="S8" s="4" t="n">
        <v>6</v>
      </c>
      <c r="T8" s="2" t="s">
        <v>46</v>
      </c>
      <c r="U8" s="2" t="s">
        <v>71</v>
      </c>
      <c r="V8" s="2"/>
      <c r="W8" s="2" t="s">
        <v>72</v>
      </c>
      <c r="X8" s="2" t="s">
        <v>41</v>
      </c>
      <c r="Y8" s="2" t="n">
        <v>0</v>
      </c>
      <c r="Z8" s="2"/>
      <c r="AA8" s="2"/>
      <c r="AB8" s="2"/>
      <c r="AC8" s="2"/>
      <c r="AD8" s="2"/>
      <c r="AE8" s="6"/>
      <c r="AF8" s="7"/>
    </row>
    <row r="9" customFormat="false" ht="15" hidden="false" customHeight="false" outlineLevel="0" collapsed="false">
      <c r="A9" s="2"/>
      <c r="B9" s="2"/>
      <c r="C9" s="2"/>
      <c r="D9" s="2"/>
      <c r="E9" s="2"/>
      <c r="F9" s="2" t="n">
        <v>8</v>
      </c>
      <c r="G9" s="2" t="n">
        <v>77</v>
      </c>
      <c r="H9" s="2" t="s">
        <v>73</v>
      </c>
      <c r="I9" s="2" t="s">
        <v>43</v>
      </c>
      <c r="J9" s="2" t="s">
        <v>74</v>
      </c>
      <c r="K9" s="2" t="s">
        <v>45</v>
      </c>
      <c r="L9" s="2"/>
      <c r="M9" s="2"/>
      <c r="N9" s="2"/>
      <c r="O9" s="3" t="n">
        <v>3.2</v>
      </c>
      <c r="P9" s="4" t="n">
        <v>63</v>
      </c>
      <c r="Q9" s="5" t="n">
        <v>0.365</v>
      </c>
      <c r="R9" s="2" t="s">
        <v>37</v>
      </c>
      <c r="S9" s="4" t="n">
        <v>5</v>
      </c>
      <c r="T9" s="2" t="s">
        <v>46</v>
      </c>
      <c r="U9" s="2" t="s">
        <v>75</v>
      </c>
      <c r="V9" s="2"/>
      <c r="W9" s="2" t="s">
        <v>76</v>
      </c>
      <c r="X9" s="2" t="s">
        <v>41</v>
      </c>
      <c r="Y9" s="2" t="n">
        <v>0</v>
      </c>
      <c r="Z9" s="2"/>
      <c r="AA9" s="2"/>
      <c r="AB9" s="2"/>
      <c r="AC9" s="2"/>
      <c r="AD9" s="2"/>
      <c r="AE9" s="6"/>
      <c r="AF9" s="7"/>
    </row>
    <row r="10" customFormat="false" ht="15" hidden="false" customHeight="false" outlineLevel="0" collapsed="false">
      <c r="A10" s="2"/>
      <c r="B10" s="2"/>
      <c r="C10" s="2"/>
      <c r="D10" s="2"/>
      <c r="E10" s="2"/>
      <c r="F10" s="2" t="n">
        <v>9</v>
      </c>
      <c r="G10" s="2" t="n">
        <v>77</v>
      </c>
      <c r="H10" s="2" t="s">
        <v>77</v>
      </c>
      <c r="I10" s="2" t="s">
        <v>50</v>
      </c>
      <c r="J10" s="2" t="s">
        <v>78</v>
      </c>
      <c r="K10" s="2" t="s">
        <v>45</v>
      </c>
      <c r="L10" s="2"/>
      <c r="M10" s="2"/>
      <c r="N10" s="2"/>
      <c r="O10" s="3" t="n">
        <v>2.6</v>
      </c>
      <c r="P10" s="4" t="n">
        <v>59</v>
      </c>
      <c r="Q10" s="5" t="n">
        <v>0.576</v>
      </c>
      <c r="R10" s="2" t="s">
        <v>37</v>
      </c>
      <c r="S10" s="4" t="n">
        <v>13</v>
      </c>
      <c r="T10" s="2" t="s">
        <v>46</v>
      </c>
      <c r="U10" s="2" t="s">
        <v>79</v>
      </c>
      <c r="V10" s="2"/>
      <c r="W10" s="2" t="s">
        <v>80</v>
      </c>
      <c r="X10" s="2" t="s">
        <v>41</v>
      </c>
      <c r="Y10" s="2" t="n">
        <v>0</v>
      </c>
      <c r="Z10" s="2"/>
      <c r="AA10" s="2"/>
      <c r="AB10" s="2"/>
      <c r="AC10" s="2"/>
      <c r="AD10" s="2"/>
      <c r="AE10" s="6"/>
      <c r="AF10" s="7"/>
    </row>
    <row r="11" customFormat="false" ht="15" hidden="false" customHeight="false" outlineLevel="0" collapsed="false">
      <c r="A11" s="2"/>
      <c r="B11" s="2"/>
      <c r="C11" s="2"/>
      <c r="D11" s="2"/>
      <c r="E11" s="2"/>
      <c r="F11" s="2" t="n">
        <v>10</v>
      </c>
      <c r="G11" s="2" t="n">
        <v>75</v>
      </c>
      <c r="H11" s="2" t="s">
        <v>81</v>
      </c>
      <c r="I11" s="2" t="s">
        <v>82</v>
      </c>
      <c r="J11" s="2" t="s">
        <v>83</v>
      </c>
      <c r="K11" s="2" t="s">
        <v>45</v>
      </c>
      <c r="L11" s="2"/>
      <c r="M11" s="2"/>
      <c r="N11" s="2"/>
      <c r="O11" s="3" t="n">
        <v>3.5</v>
      </c>
      <c r="P11" s="4" t="n">
        <v>282</v>
      </c>
      <c r="Q11" s="5"/>
      <c r="R11" s="2"/>
      <c r="S11" s="4" t="n">
        <v>45</v>
      </c>
      <c r="T11" s="2"/>
      <c r="U11" s="2" t="s">
        <v>84</v>
      </c>
      <c r="V11" s="2"/>
      <c r="W11" s="2" t="s">
        <v>85</v>
      </c>
      <c r="X11" s="2" t="s">
        <v>41</v>
      </c>
      <c r="Y11" s="2" t="n">
        <v>0</v>
      </c>
      <c r="Z11" s="2"/>
      <c r="AA11" s="2"/>
      <c r="AB11" s="2"/>
      <c r="AC11" s="2"/>
      <c r="AD11" s="2"/>
      <c r="AE11" s="6"/>
      <c r="AF11" s="7"/>
    </row>
    <row r="12" customFormat="false" ht="15" hidden="false" customHeight="false" outlineLevel="0" collapsed="false">
      <c r="A12" s="2"/>
      <c r="B12" s="2"/>
      <c r="C12" s="2"/>
      <c r="D12" s="2"/>
      <c r="E12" s="2"/>
      <c r="F12" s="2" t="n">
        <v>11</v>
      </c>
      <c r="G12" s="2" t="n">
        <v>75</v>
      </c>
      <c r="H12" s="2" t="s">
        <v>86</v>
      </c>
      <c r="I12" s="2" t="s">
        <v>50</v>
      </c>
      <c r="J12" s="2" t="s">
        <v>87</v>
      </c>
      <c r="K12" s="2" t="s">
        <v>45</v>
      </c>
      <c r="L12" s="2"/>
      <c r="M12" s="2"/>
      <c r="N12" s="2"/>
      <c r="O12" s="3" t="n">
        <v>3.8</v>
      </c>
      <c r="P12" s="4" t="n">
        <v>33</v>
      </c>
      <c r="Q12" s="5" t="n">
        <v>0.273</v>
      </c>
      <c r="R12" s="2" t="s">
        <v>37</v>
      </c>
      <c r="S12" s="4" t="n">
        <v>5</v>
      </c>
      <c r="T12" s="2" t="s">
        <v>88</v>
      </c>
      <c r="U12" s="2" t="s">
        <v>89</v>
      </c>
      <c r="V12" s="2"/>
      <c r="W12" s="2" t="s">
        <v>90</v>
      </c>
      <c r="X12" s="2" t="s">
        <v>41</v>
      </c>
      <c r="Y12" s="2" t="n">
        <v>0</v>
      </c>
      <c r="Z12" s="2"/>
      <c r="AA12" s="2"/>
      <c r="AB12" s="2"/>
      <c r="AC12" s="2"/>
      <c r="AD12" s="2"/>
      <c r="AE12" s="6"/>
      <c r="AF12" s="7"/>
    </row>
    <row r="13" customFormat="false" ht="15" hidden="false" customHeight="false" outlineLevel="0" collapsed="false">
      <c r="A13" s="2"/>
      <c r="B13" s="2"/>
      <c r="C13" s="2"/>
      <c r="D13" s="2"/>
      <c r="E13" s="2"/>
      <c r="F13" s="2" t="n">
        <v>12</v>
      </c>
      <c r="G13" s="2" t="n">
        <v>70</v>
      </c>
      <c r="H13" s="2" t="s">
        <v>91</v>
      </c>
      <c r="I13" s="2" t="s">
        <v>50</v>
      </c>
      <c r="J13" s="2" t="s">
        <v>92</v>
      </c>
      <c r="K13" s="2" t="s">
        <v>45</v>
      </c>
      <c r="L13" s="2"/>
      <c r="M13" s="2"/>
      <c r="N13" s="2"/>
      <c r="O13" s="3" t="n">
        <v>3.3</v>
      </c>
      <c r="P13" s="4" t="n">
        <v>233</v>
      </c>
      <c r="Q13" s="5"/>
      <c r="R13" s="2"/>
      <c r="S13" s="4" t="n">
        <v>64</v>
      </c>
      <c r="T13" s="2"/>
      <c r="U13" s="2" t="s">
        <v>93</v>
      </c>
      <c r="V13" s="2"/>
      <c r="W13" s="2" t="s">
        <v>94</v>
      </c>
      <c r="X13" s="2" t="s">
        <v>41</v>
      </c>
      <c r="Y13" s="2" t="n">
        <v>0</v>
      </c>
      <c r="Z13" s="2"/>
      <c r="AA13" s="2"/>
      <c r="AB13" s="2"/>
      <c r="AC13" s="2"/>
      <c r="AD13" s="2"/>
      <c r="AE13" s="6"/>
      <c r="AF13" s="7"/>
    </row>
    <row r="14" customFormat="false" ht="15" hidden="false" customHeight="false" outlineLevel="0" collapsed="false">
      <c r="A14" s="2"/>
      <c r="B14" s="2"/>
      <c r="C14" s="2"/>
      <c r="D14" s="2"/>
      <c r="E14" s="2"/>
      <c r="F14" s="2" t="n">
        <v>13</v>
      </c>
      <c r="G14" s="2" t="n">
        <v>70</v>
      </c>
      <c r="H14" s="2" t="s">
        <v>95</v>
      </c>
      <c r="I14" s="2" t="s">
        <v>50</v>
      </c>
      <c r="J14" s="2" t="s">
        <v>96</v>
      </c>
      <c r="K14" s="2" t="s">
        <v>45</v>
      </c>
      <c r="L14" s="2"/>
      <c r="M14" s="2"/>
      <c r="N14" s="2"/>
      <c r="O14" s="3" t="n">
        <v>3.1</v>
      </c>
      <c r="P14" s="4" t="n">
        <v>13</v>
      </c>
      <c r="Q14" s="5" t="n">
        <v>0.462</v>
      </c>
      <c r="R14" s="2" t="s">
        <v>37</v>
      </c>
      <c r="S14" s="4" t="n">
        <v>2</v>
      </c>
      <c r="T14" s="2" t="s">
        <v>97</v>
      </c>
      <c r="U14" s="2" t="s">
        <v>98</v>
      </c>
      <c r="V14" s="2"/>
      <c r="W14" s="2" t="s">
        <v>99</v>
      </c>
      <c r="X14" s="2" t="s">
        <v>41</v>
      </c>
      <c r="Y14" s="2" t="n">
        <v>0</v>
      </c>
      <c r="Z14" s="2"/>
      <c r="AA14" s="2"/>
      <c r="AB14" s="2"/>
      <c r="AC14" s="2"/>
      <c r="AD14" s="2"/>
      <c r="AE14" s="6"/>
      <c r="AF14" s="7"/>
    </row>
    <row r="15" customFormat="false" ht="15" hidden="false" customHeight="false" outlineLevel="0" collapsed="false">
      <c r="A15" s="2"/>
      <c r="B15" s="2"/>
      <c r="C15" s="2"/>
      <c r="D15" s="2"/>
      <c r="E15" s="2"/>
      <c r="F15" s="2" t="n">
        <v>14</v>
      </c>
      <c r="G15" s="2" t="n">
        <v>67</v>
      </c>
      <c r="H15" s="2" t="s">
        <v>100</v>
      </c>
      <c r="I15" s="2" t="s">
        <v>50</v>
      </c>
      <c r="J15" s="2" t="s">
        <v>101</v>
      </c>
      <c r="K15" s="2" t="s">
        <v>45</v>
      </c>
      <c r="L15" s="2"/>
      <c r="M15" s="2"/>
      <c r="N15" s="2"/>
      <c r="O15" s="3" t="n">
        <v>2.3</v>
      </c>
      <c r="P15" s="4" t="n">
        <v>158</v>
      </c>
      <c r="Q15" s="5" t="n">
        <v>0.62</v>
      </c>
      <c r="R15" s="2"/>
      <c r="S15" s="4" t="n">
        <v>16</v>
      </c>
      <c r="T15" s="2" t="s">
        <v>46</v>
      </c>
      <c r="U15" s="2" t="s">
        <v>102</v>
      </c>
      <c r="V15" s="2"/>
      <c r="W15" s="2" t="s">
        <v>103</v>
      </c>
      <c r="X15" s="2" t="s">
        <v>41</v>
      </c>
      <c r="Y15" s="2" t="n">
        <v>0</v>
      </c>
      <c r="Z15" s="2"/>
      <c r="AA15" s="2"/>
      <c r="AB15" s="2"/>
      <c r="AC15" s="2"/>
      <c r="AD15" s="2"/>
      <c r="AE15" s="6"/>
      <c r="AF15" s="7"/>
    </row>
    <row r="16" customFormat="false" ht="15" hidden="false" customHeight="false" outlineLevel="0" collapsed="false">
      <c r="A16" s="2"/>
      <c r="B16" s="2"/>
      <c r="C16" s="2"/>
      <c r="D16" s="2"/>
      <c r="E16" s="2"/>
      <c r="F16" s="2" t="n">
        <v>15</v>
      </c>
      <c r="G16" s="2" t="n">
        <v>67</v>
      </c>
      <c r="H16" s="2" t="s">
        <v>104</v>
      </c>
      <c r="I16" s="2" t="s">
        <v>43</v>
      </c>
      <c r="J16" s="2" t="s">
        <v>105</v>
      </c>
      <c r="K16" s="2" t="s">
        <v>45</v>
      </c>
      <c r="L16" s="2"/>
      <c r="M16" s="2"/>
      <c r="N16" s="2"/>
      <c r="O16" s="3" t="n">
        <v>3.1</v>
      </c>
      <c r="P16" s="4" t="n">
        <v>129</v>
      </c>
      <c r="Q16" s="5" t="n">
        <v>0.372</v>
      </c>
      <c r="R16" s="2"/>
      <c r="S16" s="4" t="n">
        <v>21</v>
      </c>
      <c r="T16" s="2"/>
      <c r="U16" s="2" t="s">
        <v>106</v>
      </c>
      <c r="V16" s="2"/>
      <c r="W16" s="2" t="s">
        <v>107</v>
      </c>
      <c r="X16" s="2" t="s">
        <v>41</v>
      </c>
      <c r="Y16" s="2" t="n">
        <v>0</v>
      </c>
      <c r="Z16" s="2"/>
      <c r="AA16" s="2"/>
      <c r="AB16" s="2"/>
      <c r="AC16" s="2"/>
      <c r="AD16" s="2"/>
      <c r="AE16" s="6"/>
      <c r="AF16" s="7"/>
    </row>
    <row r="17" customFormat="false" ht="15" hidden="false" customHeight="false" outlineLevel="0" collapsed="false">
      <c r="A17" s="2"/>
      <c r="B17" s="2"/>
      <c r="C17" s="2"/>
      <c r="D17" s="2"/>
      <c r="E17" s="2"/>
      <c r="F17" s="2" t="n">
        <v>16</v>
      </c>
      <c r="G17" s="2" t="n">
        <v>67</v>
      </c>
      <c r="H17" s="2" t="s">
        <v>108</v>
      </c>
      <c r="I17" s="2" t="s">
        <v>50</v>
      </c>
      <c r="J17" s="2" t="s">
        <v>109</v>
      </c>
      <c r="K17" s="2" t="s">
        <v>45</v>
      </c>
      <c r="L17" s="2"/>
      <c r="M17" s="2"/>
      <c r="N17" s="2"/>
      <c r="O17" s="3" t="n">
        <v>2.9</v>
      </c>
      <c r="P17" s="4" t="n">
        <v>126</v>
      </c>
      <c r="Q17" s="5"/>
      <c r="R17" s="2"/>
      <c r="S17" s="4" t="n">
        <v>17</v>
      </c>
      <c r="T17" s="2" t="s">
        <v>110</v>
      </c>
      <c r="U17" s="2" t="s">
        <v>111</v>
      </c>
      <c r="V17" s="2"/>
      <c r="W17" s="2" t="s">
        <v>112</v>
      </c>
      <c r="X17" s="2" t="s">
        <v>41</v>
      </c>
      <c r="Y17" s="2" t="n">
        <v>0</v>
      </c>
      <c r="Z17" s="2"/>
      <c r="AA17" s="2"/>
      <c r="AB17" s="2"/>
      <c r="AC17" s="2"/>
      <c r="AD17" s="2"/>
      <c r="AE17" s="6"/>
      <c r="AF17" s="7"/>
    </row>
    <row r="18" customFormat="false" ht="15" hidden="false" customHeight="false" outlineLevel="0" collapsed="false">
      <c r="A18" s="2"/>
      <c r="B18" s="2"/>
      <c r="C18" s="2"/>
      <c r="D18" s="2"/>
      <c r="E18" s="2"/>
      <c r="F18" s="2" t="n">
        <v>17</v>
      </c>
      <c r="G18" s="2" t="n">
        <v>67</v>
      </c>
      <c r="H18" s="2" t="s">
        <v>113</v>
      </c>
      <c r="I18" s="2" t="s">
        <v>50</v>
      </c>
      <c r="J18" s="2" t="s">
        <v>114</v>
      </c>
      <c r="K18" s="2" t="s">
        <v>45</v>
      </c>
      <c r="L18" s="2"/>
      <c r="M18" s="2"/>
      <c r="N18" s="2"/>
      <c r="O18" s="3" t="n">
        <v>2.8</v>
      </c>
      <c r="P18" s="4" t="n">
        <v>111</v>
      </c>
      <c r="Q18" s="5" t="n">
        <v>0.514</v>
      </c>
      <c r="R18" s="2"/>
      <c r="S18" s="4" t="n">
        <v>19</v>
      </c>
      <c r="T18" s="2" t="s">
        <v>57</v>
      </c>
      <c r="U18" s="2" t="s">
        <v>115</v>
      </c>
      <c r="V18" s="2"/>
      <c r="W18" s="2" t="s">
        <v>116</v>
      </c>
      <c r="X18" s="2" t="s">
        <v>41</v>
      </c>
      <c r="Y18" s="2" t="n">
        <v>0</v>
      </c>
      <c r="Z18" s="2"/>
      <c r="AA18" s="2"/>
      <c r="AB18" s="2"/>
      <c r="AC18" s="2"/>
      <c r="AD18" s="2"/>
      <c r="AE18" s="6"/>
      <c r="AF18" s="7"/>
    </row>
    <row r="19" customFormat="false" ht="15" hidden="false" customHeight="false" outlineLevel="0" collapsed="false">
      <c r="A19" s="2"/>
      <c r="B19" s="2"/>
      <c r="C19" s="2"/>
      <c r="D19" s="2"/>
      <c r="E19" s="2"/>
      <c r="F19" s="2" t="n">
        <v>18</v>
      </c>
      <c r="G19" s="2" t="n">
        <v>67</v>
      </c>
      <c r="H19" s="2" t="s">
        <v>117</v>
      </c>
      <c r="I19" s="2" t="s">
        <v>43</v>
      </c>
      <c r="J19" s="2" t="s">
        <v>118</v>
      </c>
      <c r="K19" s="2" t="s">
        <v>45</v>
      </c>
      <c r="L19" s="2"/>
      <c r="M19" s="2"/>
      <c r="N19" s="2"/>
      <c r="O19" s="3" t="n">
        <v>2.9</v>
      </c>
      <c r="P19" s="4" t="n">
        <v>101</v>
      </c>
      <c r="Q19" s="5" t="n">
        <v>0.455</v>
      </c>
      <c r="R19" s="2"/>
      <c r="S19" s="4" t="n">
        <v>15</v>
      </c>
      <c r="T19" s="2" t="s">
        <v>46</v>
      </c>
      <c r="U19" s="2" t="s">
        <v>119</v>
      </c>
      <c r="V19" s="2"/>
      <c r="W19" s="2" t="s">
        <v>120</v>
      </c>
      <c r="X19" s="2" t="s">
        <v>41</v>
      </c>
      <c r="Y19" s="2" t="n">
        <v>0</v>
      </c>
      <c r="Z19" s="2"/>
      <c r="AA19" s="2"/>
      <c r="AB19" s="2"/>
      <c r="AC19" s="2"/>
      <c r="AD19" s="2"/>
      <c r="AE19" s="6"/>
      <c r="AF19" s="7"/>
    </row>
    <row r="20" customFormat="false" ht="15" hidden="false" customHeight="false" outlineLevel="0" collapsed="false">
      <c r="A20" s="2"/>
      <c r="B20" s="2"/>
      <c r="C20" s="2"/>
      <c r="D20" s="2"/>
      <c r="E20" s="2"/>
      <c r="F20" s="2" t="n">
        <v>19</v>
      </c>
      <c r="G20" s="2" t="n">
        <v>67</v>
      </c>
      <c r="H20" s="2" t="s">
        <v>121</v>
      </c>
      <c r="I20" s="2" t="s">
        <v>43</v>
      </c>
      <c r="J20" s="2" t="s">
        <v>122</v>
      </c>
      <c r="K20" s="2" t="s">
        <v>45</v>
      </c>
      <c r="L20" s="2"/>
      <c r="M20" s="2"/>
      <c r="N20" s="2"/>
      <c r="O20" s="3" t="n">
        <v>3</v>
      </c>
      <c r="P20" s="4" t="n">
        <v>83</v>
      </c>
      <c r="Q20" s="5" t="n">
        <v>0.373</v>
      </c>
      <c r="R20" s="2"/>
      <c r="S20" s="4" t="n">
        <v>9</v>
      </c>
      <c r="T20" s="2"/>
      <c r="U20" s="2" t="s">
        <v>123</v>
      </c>
      <c r="V20" s="2"/>
      <c r="W20" s="2" t="s">
        <v>124</v>
      </c>
      <c r="X20" s="2" t="s">
        <v>41</v>
      </c>
      <c r="Y20" s="2" t="n">
        <v>0</v>
      </c>
      <c r="Z20" s="2"/>
      <c r="AA20" s="2"/>
      <c r="AB20" s="2"/>
      <c r="AC20" s="2"/>
      <c r="AD20" s="2"/>
      <c r="AE20" s="6"/>
      <c r="AF20" s="7"/>
    </row>
    <row r="21" customFormat="false" ht="15" hidden="false" customHeight="false" outlineLevel="0" collapsed="false">
      <c r="A21" s="2"/>
      <c r="B21" s="2"/>
      <c r="C21" s="2"/>
      <c r="D21" s="2"/>
      <c r="E21" s="2"/>
      <c r="F21" s="2" t="n">
        <v>20</v>
      </c>
      <c r="G21" s="2" t="n">
        <v>65</v>
      </c>
      <c r="H21" s="2" t="s">
        <v>125</v>
      </c>
      <c r="I21" s="2" t="s">
        <v>43</v>
      </c>
      <c r="J21" s="2" t="s">
        <v>126</v>
      </c>
      <c r="K21" s="2" t="s">
        <v>35</v>
      </c>
      <c r="L21" s="2" t="s">
        <v>127</v>
      </c>
      <c r="M21" s="2"/>
      <c r="N21" s="2"/>
      <c r="O21" s="3" t="n">
        <v>2.4</v>
      </c>
      <c r="P21" s="4" t="n">
        <v>1544</v>
      </c>
      <c r="Q21" s="5" t="n">
        <v>0.597</v>
      </c>
      <c r="R21" s="2"/>
      <c r="S21" s="4" t="n">
        <v>1200</v>
      </c>
      <c r="T21" s="2"/>
      <c r="U21" s="2" t="s">
        <v>128</v>
      </c>
      <c r="V21" s="2"/>
      <c r="W21" s="2" t="s">
        <v>129</v>
      </c>
      <c r="X21" s="2" t="s">
        <v>41</v>
      </c>
      <c r="Y21" s="2" t="n">
        <v>0</v>
      </c>
      <c r="Z21" s="2"/>
      <c r="AA21" s="2"/>
      <c r="AB21" s="2"/>
      <c r="AC21" s="2"/>
      <c r="AD21" s="2"/>
      <c r="AE21" s="6"/>
      <c r="AF21" s="7"/>
    </row>
    <row r="22" customFormat="false" ht="15" hidden="false" customHeight="false" outlineLevel="0" collapsed="false">
      <c r="A22" s="2"/>
      <c r="B22" s="2"/>
      <c r="C22" s="2"/>
      <c r="D22" s="2"/>
      <c r="E22" s="2"/>
      <c r="F22" s="2" t="n">
        <v>21</v>
      </c>
      <c r="G22" s="2" t="n">
        <v>62</v>
      </c>
      <c r="H22" s="2" t="s">
        <v>130</v>
      </c>
      <c r="I22" s="2" t="s">
        <v>50</v>
      </c>
      <c r="J22" s="2" t="s">
        <v>131</v>
      </c>
      <c r="K22" s="2" t="s">
        <v>45</v>
      </c>
      <c r="L22" s="2"/>
      <c r="M22" s="2"/>
      <c r="N22" s="2"/>
      <c r="O22" s="3" t="n">
        <v>3</v>
      </c>
      <c r="P22" s="4" t="n">
        <v>138</v>
      </c>
      <c r="Q22" s="5" t="n">
        <v>0.435</v>
      </c>
      <c r="R22" s="2"/>
      <c r="S22" s="4" t="n">
        <v>50</v>
      </c>
      <c r="T22" s="2" t="s">
        <v>132</v>
      </c>
      <c r="U22" s="2" t="s">
        <v>133</v>
      </c>
      <c r="V22" s="2"/>
      <c r="W22" s="2" t="s">
        <v>134</v>
      </c>
      <c r="X22" s="2" t="s">
        <v>41</v>
      </c>
      <c r="Y22" s="2" t="n">
        <v>0</v>
      </c>
      <c r="Z22" s="2"/>
      <c r="AA22" s="2"/>
      <c r="AB22" s="2"/>
      <c r="AC22" s="2"/>
      <c r="AD22" s="2"/>
      <c r="AE22" s="6"/>
      <c r="AF22" s="7"/>
    </row>
    <row r="23" customFormat="false" ht="15" hidden="false" customHeight="false" outlineLevel="0" collapsed="false">
      <c r="A23" s="2"/>
      <c r="B23" s="2"/>
      <c r="C23" s="2"/>
      <c r="D23" s="2"/>
      <c r="E23" s="2"/>
      <c r="F23" s="2" t="n">
        <v>22</v>
      </c>
      <c r="G23" s="2" t="n">
        <v>62</v>
      </c>
      <c r="H23" s="2" t="s">
        <v>135</v>
      </c>
      <c r="I23" s="2" t="s">
        <v>43</v>
      </c>
      <c r="J23" s="2" t="s">
        <v>136</v>
      </c>
      <c r="K23" s="2" t="s">
        <v>45</v>
      </c>
      <c r="L23" s="2"/>
      <c r="M23" s="2"/>
      <c r="N23" s="2"/>
      <c r="O23" s="3" t="n">
        <v>3.1</v>
      </c>
      <c r="P23" s="4" t="n">
        <v>85</v>
      </c>
      <c r="Q23" s="5" t="n">
        <v>0.376</v>
      </c>
      <c r="R23" s="2"/>
      <c r="S23" s="4" t="n">
        <v>33</v>
      </c>
      <c r="T23" s="2" t="s">
        <v>46</v>
      </c>
      <c r="U23" s="2" t="s">
        <v>137</v>
      </c>
      <c r="V23" s="2"/>
      <c r="W23" s="2" t="s">
        <v>138</v>
      </c>
      <c r="X23" s="2" t="s">
        <v>41</v>
      </c>
      <c r="Y23" s="2" t="n">
        <v>0</v>
      </c>
      <c r="Z23" s="2"/>
      <c r="AA23" s="2"/>
      <c r="AB23" s="2"/>
      <c r="AC23" s="2"/>
      <c r="AD23" s="2"/>
      <c r="AE23" s="6"/>
      <c r="AF23" s="7"/>
    </row>
    <row r="24" customFormat="false" ht="15" hidden="false" customHeight="false" outlineLevel="0" collapsed="false">
      <c r="A24" s="2"/>
      <c r="B24" s="2"/>
      <c r="C24" s="2"/>
      <c r="D24" s="2"/>
      <c r="E24" s="2"/>
      <c r="F24" s="2" t="n">
        <v>23</v>
      </c>
      <c r="G24" s="2" t="n">
        <v>62</v>
      </c>
      <c r="H24" s="2" t="s">
        <v>139</v>
      </c>
      <c r="I24" s="2" t="s">
        <v>43</v>
      </c>
      <c r="J24" s="2" t="s">
        <v>140</v>
      </c>
      <c r="K24" s="2" t="s">
        <v>45</v>
      </c>
      <c r="L24" s="2"/>
      <c r="M24" s="2"/>
      <c r="N24" s="2"/>
      <c r="O24" s="3" t="n">
        <v>2.6</v>
      </c>
      <c r="P24" s="4" t="n">
        <v>62</v>
      </c>
      <c r="Q24" s="5" t="n">
        <v>0.548</v>
      </c>
      <c r="R24" s="2"/>
      <c r="S24" s="4" t="n">
        <v>48</v>
      </c>
      <c r="T24" s="2" t="s">
        <v>88</v>
      </c>
      <c r="U24" s="2" t="s">
        <v>141</v>
      </c>
      <c r="V24" s="2"/>
      <c r="W24" s="2" t="s">
        <v>142</v>
      </c>
      <c r="X24" s="2" t="s">
        <v>41</v>
      </c>
      <c r="Y24" s="2" t="n">
        <v>0</v>
      </c>
      <c r="Z24" s="2"/>
      <c r="AA24" s="2"/>
      <c r="AB24" s="2"/>
      <c r="AC24" s="2"/>
      <c r="AD24" s="2"/>
      <c r="AE24" s="6"/>
      <c r="AF24" s="7"/>
    </row>
    <row r="25" customFormat="false" ht="15" hidden="false" customHeight="false" outlineLevel="0" collapsed="false">
      <c r="A25" s="2"/>
      <c r="B25" s="2"/>
      <c r="C25" s="2"/>
      <c r="D25" s="2"/>
      <c r="E25" s="2"/>
      <c r="F25" s="2" t="n">
        <v>24</v>
      </c>
      <c r="G25" s="2" t="n">
        <v>60</v>
      </c>
      <c r="H25" s="2" t="s">
        <v>143</v>
      </c>
      <c r="I25" s="2" t="s">
        <v>43</v>
      </c>
      <c r="J25" s="2" t="s">
        <v>144</v>
      </c>
      <c r="K25" s="2" t="s">
        <v>35</v>
      </c>
      <c r="L25" s="2" t="s">
        <v>145</v>
      </c>
      <c r="M25" s="2"/>
      <c r="N25" s="2"/>
      <c r="O25" s="3" t="n">
        <v>4.9</v>
      </c>
      <c r="P25" s="4" t="n">
        <v>17</v>
      </c>
      <c r="Q25" s="5" t="n">
        <v>0</v>
      </c>
      <c r="R25" s="2"/>
      <c r="S25" s="4" t="n">
        <v>52</v>
      </c>
      <c r="T25" s="2"/>
      <c r="U25" s="2" t="s">
        <v>146</v>
      </c>
      <c r="V25" s="2"/>
      <c r="W25" s="2" t="s">
        <v>147</v>
      </c>
      <c r="X25" s="2" t="s">
        <v>41</v>
      </c>
      <c r="Y25" s="2" t="n">
        <v>0</v>
      </c>
      <c r="Z25" s="2"/>
      <c r="AA25" s="2"/>
      <c r="AB25" s="2"/>
      <c r="AC25" s="2"/>
      <c r="AD25" s="2"/>
      <c r="AE25" s="6"/>
      <c r="AF25" s="7"/>
    </row>
    <row r="26" customFormat="false" ht="15" hidden="false" customHeight="false" outlineLevel="0" collapsed="false">
      <c r="A26" s="2"/>
      <c r="B26" s="2"/>
      <c r="C26" s="2"/>
      <c r="D26" s="2"/>
      <c r="E26" s="2"/>
      <c r="F26" s="2" t="n">
        <v>25</v>
      </c>
      <c r="G26" s="2" t="n">
        <v>60</v>
      </c>
      <c r="H26" s="2" t="s">
        <v>148</v>
      </c>
      <c r="I26" s="2" t="s">
        <v>43</v>
      </c>
      <c r="J26" s="2" t="s">
        <v>149</v>
      </c>
      <c r="K26" s="2" t="s">
        <v>45</v>
      </c>
      <c r="L26" s="2"/>
      <c r="M26" s="2"/>
      <c r="N26" s="2"/>
      <c r="O26" s="3" t="n">
        <v>2.9</v>
      </c>
      <c r="P26" s="4" t="n">
        <v>15</v>
      </c>
      <c r="Q26" s="5" t="n">
        <v>0.533</v>
      </c>
      <c r="R26" s="2"/>
      <c r="S26" s="4" t="n">
        <v>28</v>
      </c>
      <c r="T26" s="2" t="s">
        <v>150</v>
      </c>
      <c r="U26" s="2" t="s">
        <v>151</v>
      </c>
      <c r="V26" s="2"/>
      <c r="W26" s="2" t="s">
        <v>152</v>
      </c>
      <c r="X26" s="2" t="s">
        <v>41</v>
      </c>
      <c r="Y26" s="2" t="n">
        <v>0</v>
      </c>
      <c r="Z26" s="2"/>
      <c r="AA26" s="2"/>
      <c r="AB26" s="2"/>
      <c r="AC26" s="2"/>
      <c r="AD26" s="2"/>
      <c r="AE26" s="6"/>
      <c r="AF26" s="7"/>
    </row>
    <row r="27" customFormat="false" ht="15" hidden="false" customHeight="false" outlineLevel="0" collapsed="false">
      <c r="A27" s="2"/>
      <c r="B27" s="2"/>
      <c r="C27" s="2"/>
      <c r="D27" s="2"/>
      <c r="E27" s="2"/>
      <c r="F27" s="2" t="n">
        <v>26</v>
      </c>
      <c r="G27" s="2" t="n">
        <v>60</v>
      </c>
      <c r="H27" s="2" t="s">
        <v>153</v>
      </c>
      <c r="I27" s="2" t="s">
        <v>50</v>
      </c>
      <c r="J27" s="2" t="s">
        <v>154</v>
      </c>
      <c r="K27" s="2" t="s">
        <v>45</v>
      </c>
      <c r="L27" s="2"/>
      <c r="M27" s="2"/>
      <c r="N27" s="2"/>
      <c r="O27" s="3" t="n">
        <v>3.3</v>
      </c>
      <c r="P27" s="4" t="n">
        <v>11</v>
      </c>
      <c r="Q27" s="5" t="n">
        <v>0.273</v>
      </c>
      <c r="R27" s="2"/>
      <c r="S27" s="4" t="n">
        <v>2</v>
      </c>
      <c r="T27" s="2" t="s">
        <v>46</v>
      </c>
      <c r="U27" s="2" t="s">
        <v>155</v>
      </c>
      <c r="V27" s="2"/>
      <c r="W27" s="2" t="s">
        <v>156</v>
      </c>
      <c r="X27" s="2" t="s">
        <v>41</v>
      </c>
      <c r="Y27" s="2" t="n">
        <v>0</v>
      </c>
      <c r="Z27" s="2"/>
      <c r="AA27" s="2"/>
      <c r="AB27" s="2"/>
      <c r="AC27" s="2"/>
      <c r="AD27" s="2"/>
      <c r="AE27" s="6"/>
      <c r="AF27" s="7"/>
    </row>
    <row r="28" customFormat="false" ht="15" hidden="false" customHeight="false" outlineLevel="0" collapsed="false">
      <c r="A28" s="2"/>
      <c r="B28" s="2"/>
      <c r="C28" s="2"/>
      <c r="D28" s="2"/>
      <c r="E28" s="2"/>
      <c r="F28" s="2" t="n">
        <v>27</v>
      </c>
      <c r="G28" s="2" t="n">
        <v>40</v>
      </c>
      <c r="H28" s="2" t="s">
        <v>157</v>
      </c>
      <c r="I28" s="2" t="s">
        <v>43</v>
      </c>
      <c r="J28" s="2" t="s">
        <v>158</v>
      </c>
      <c r="K28" s="2" t="s">
        <v>159</v>
      </c>
      <c r="L28" s="2" t="s">
        <v>160</v>
      </c>
      <c r="M28" s="2"/>
      <c r="N28" s="2"/>
      <c r="O28" s="3" t="n">
        <v>4.5</v>
      </c>
      <c r="P28" s="4" t="n">
        <v>1259</v>
      </c>
      <c r="Q28" s="5" t="n">
        <v>0.091</v>
      </c>
      <c r="R28" s="2"/>
      <c r="S28" s="4" t="n">
        <v>1737</v>
      </c>
      <c r="T28" s="2" t="s">
        <v>57</v>
      </c>
      <c r="U28" s="2" t="s">
        <v>161</v>
      </c>
      <c r="V28" s="2"/>
      <c r="W28" s="2" t="s">
        <v>162</v>
      </c>
      <c r="X28" s="2" t="s">
        <v>41</v>
      </c>
      <c r="Y28" s="2" t="n">
        <v>0</v>
      </c>
      <c r="Z28" s="2"/>
      <c r="AA28" s="2"/>
      <c r="AB28" s="2"/>
      <c r="AC28" s="2"/>
      <c r="AD28" s="2"/>
      <c r="AE28" s="6"/>
      <c r="AF28" s="7"/>
    </row>
    <row r="29" customFormat="false" ht="15" hidden="false" customHeight="false" outlineLevel="0" collapsed="false">
      <c r="A29" s="2"/>
      <c r="B29" s="2"/>
      <c r="C29" s="2"/>
      <c r="D29" s="2"/>
      <c r="E29" s="2"/>
      <c r="F29" s="2" t="n">
        <v>28</v>
      </c>
      <c r="G29" s="2" t="n">
        <v>37</v>
      </c>
      <c r="H29" s="2" t="s">
        <v>163</v>
      </c>
      <c r="I29" s="2" t="s">
        <v>43</v>
      </c>
      <c r="J29" s="2" t="s">
        <v>164</v>
      </c>
      <c r="K29" s="2" t="s">
        <v>159</v>
      </c>
      <c r="L29" s="2" t="s">
        <v>165</v>
      </c>
      <c r="M29" s="2"/>
      <c r="N29" s="2"/>
      <c r="O29" s="3" t="n">
        <v>4.6</v>
      </c>
      <c r="P29" s="4" t="n">
        <v>133</v>
      </c>
      <c r="Q29" s="5"/>
      <c r="R29" s="2" t="s">
        <v>37</v>
      </c>
      <c r="S29" s="4" t="n">
        <v>115</v>
      </c>
      <c r="T29" s="2"/>
      <c r="U29" s="2" t="s">
        <v>166</v>
      </c>
      <c r="V29" s="2"/>
      <c r="W29" s="2" t="s">
        <v>167</v>
      </c>
      <c r="X29" s="2" t="s">
        <v>41</v>
      </c>
      <c r="Y29" s="2" t="n">
        <v>0</v>
      </c>
      <c r="Z29" s="2"/>
      <c r="AA29" s="2"/>
      <c r="AB29" s="2"/>
      <c r="AC29" s="2"/>
      <c r="AD29" s="2"/>
      <c r="AE29" s="6"/>
      <c r="AF29" s="7"/>
    </row>
    <row r="30" customFormat="false" ht="15" hidden="false" customHeight="false" outlineLevel="0" collapsed="false">
      <c r="A30" s="2"/>
      <c r="B30" s="2"/>
      <c r="C30" s="2"/>
      <c r="D30" s="2"/>
      <c r="E30" s="2"/>
      <c r="F30" s="2" t="n">
        <v>29</v>
      </c>
      <c r="G30" s="2" t="n">
        <v>35</v>
      </c>
      <c r="H30" s="2" t="s">
        <v>168</v>
      </c>
      <c r="I30" s="2" t="s">
        <v>43</v>
      </c>
      <c r="J30" s="2" t="s">
        <v>169</v>
      </c>
      <c r="K30" s="2" t="s">
        <v>159</v>
      </c>
      <c r="L30" s="2" t="s">
        <v>170</v>
      </c>
      <c r="M30" s="2"/>
      <c r="N30" s="2"/>
      <c r="O30" s="3" t="n">
        <v>4.1</v>
      </c>
      <c r="P30" s="4" t="n">
        <v>3064</v>
      </c>
      <c r="Q30" s="5"/>
      <c r="R30" s="2"/>
      <c r="S30" s="4" t="n">
        <v>7445</v>
      </c>
      <c r="T30" s="2" t="s">
        <v>171</v>
      </c>
      <c r="U30" s="2" t="s">
        <v>172</v>
      </c>
      <c r="V30" s="2"/>
      <c r="W30" s="2" t="s">
        <v>173</v>
      </c>
      <c r="X30" s="2" t="s">
        <v>41</v>
      </c>
      <c r="Y30" s="2" t="n">
        <v>0</v>
      </c>
      <c r="Z30" s="2"/>
      <c r="AA30" s="2"/>
      <c r="AB30" s="2"/>
      <c r="AC30" s="2"/>
      <c r="AD30" s="2"/>
      <c r="AE30" s="6"/>
      <c r="AF30" s="7"/>
    </row>
    <row r="31" customFormat="false" ht="15" hidden="false" customHeight="false" outlineLevel="0" collapsed="false">
      <c r="A31" s="2"/>
      <c r="B31" s="2"/>
      <c r="C31" s="2"/>
      <c r="D31" s="2"/>
      <c r="E31" s="2"/>
      <c r="F31" s="2" t="n">
        <v>30</v>
      </c>
      <c r="G31" s="2" t="n">
        <v>35</v>
      </c>
      <c r="H31" s="2" t="s">
        <v>174</v>
      </c>
      <c r="I31" s="2" t="s">
        <v>43</v>
      </c>
      <c r="J31" s="2" t="s">
        <v>175</v>
      </c>
      <c r="K31" s="2" t="s">
        <v>159</v>
      </c>
      <c r="L31" s="2" t="s">
        <v>176</v>
      </c>
      <c r="M31" s="2"/>
      <c r="N31" s="2"/>
      <c r="O31" s="3" t="n">
        <v>4</v>
      </c>
      <c r="P31" s="4" t="n">
        <v>2293</v>
      </c>
      <c r="Q31" s="5"/>
      <c r="R31" s="2"/>
      <c r="S31" s="4" t="n">
        <v>1811</v>
      </c>
      <c r="T31" s="2" t="s">
        <v>177</v>
      </c>
      <c r="U31" s="2" t="s">
        <v>178</v>
      </c>
      <c r="V31" s="2"/>
      <c r="W31" s="2" t="s">
        <v>179</v>
      </c>
      <c r="X31" s="2" t="s">
        <v>41</v>
      </c>
      <c r="Y31" s="2" t="n">
        <v>0</v>
      </c>
      <c r="Z31" s="2"/>
      <c r="AA31" s="2"/>
      <c r="AB31" s="2"/>
      <c r="AC31" s="2"/>
      <c r="AD31" s="2"/>
      <c r="AE31" s="6"/>
      <c r="AF31" s="7"/>
    </row>
    <row r="32" customFormat="false" ht="15" hidden="false" customHeight="false" outlineLevel="0" collapsed="false">
      <c r="A32" s="2"/>
      <c r="B32" s="2"/>
      <c r="C32" s="2"/>
      <c r="D32" s="2"/>
      <c r="E32" s="2"/>
      <c r="F32" s="2" t="n">
        <v>31</v>
      </c>
      <c r="G32" s="2" t="n">
        <v>35</v>
      </c>
      <c r="H32" s="2" t="s">
        <v>180</v>
      </c>
      <c r="I32" s="2" t="s">
        <v>43</v>
      </c>
      <c r="J32" s="2" t="s">
        <v>181</v>
      </c>
      <c r="K32" s="2" t="s">
        <v>159</v>
      </c>
      <c r="L32" s="2" t="s">
        <v>182</v>
      </c>
      <c r="M32" s="2"/>
      <c r="N32" s="2"/>
      <c r="O32" s="3" t="n">
        <v>4.2</v>
      </c>
      <c r="P32" s="4" t="n">
        <v>1475</v>
      </c>
      <c r="Q32" s="5"/>
      <c r="R32" s="2"/>
      <c r="S32" s="4" t="n">
        <v>744</v>
      </c>
      <c r="T32" s="2" t="s">
        <v>132</v>
      </c>
      <c r="U32" s="2" t="s">
        <v>183</v>
      </c>
      <c r="V32" s="2"/>
      <c r="W32" s="2" t="s">
        <v>184</v>
      </c>
      <c r="X32" s="2" t="s">
        <v>41</v>
      </c>
      <c r="Y32" s="2" t="n">
        <v>0</v>
      </c>
      <c r="Z32" s="2"/>
      <c r="AA32" s="2"/>
      <c r="AB32" s="2"/>
      <c r="AC32" s="2"/>
      <c r="AD32" s="2"/>
      <c r="AE32" s="6"/>
      <c r="AF32" s="7"/>
    </row>
    <row r="33" customFormat="false" ht="15" hidden="false" customHeight="false" outlineLevel="0" collapsed="false">
      <c r="A33" s="2"/>
      <c r="B33" s="2"/>
      <c r="C33" s="2"/>
      <c r="D33" s="2"/>
      <c r="E33" s="2"/>
      <c r="F33" s="2" t="n">
        <v>32</v>
      </c>
      <c r="G33" s="2" t="n">
        <v>30</v>
      </c>
      <c r="H33" s="2" t="s">
        <v>185</v>
      </c>
      <c r="I33" s="2" t="s">
        <v>43</v>
      </c>
      <c r="J33" s="2" t="s">
        <v>186</v>
      </c>
      <c r="K33" s="2" t="s">
        <v>159</v>
      </c>
      <c r="L33" s="2" t="s">
        <v>187</v>
      </c>
      <c r="M33" s="2"/>
      <c r="N33" s="2"/>
      <c r="O33" s="3" t="n">
        <v>3.6</v>
      </c>
      <c r="P33" s="4" t="n">
        <v>1418</v>
      </c>
      <c r="Q33" s="5" t="n">
        <v>0.259</v>
      </c>
      <c r="R33" s="2"/>
      <c r="S33" s="4" t="n">
        <v>1075</v>
      </c>
      <c r="T33" s="2" t="s">
        <v>188</v>
      </c>
      <c r="U33" s="2" t="s">
        <v>189</v>
      </c>
      <c r="V33" s="2"/>
      <c r="W33" s="2" t="s">
        <v>190</v>
      </c>
      <c r="X33" s="2" t="s">
        <v>41</v>
      </c>
      <c r="Y33" s="2" t="n">
        <v>0</v>
      </c>
      <c r="Z33" s="2"/>
      <c r="AA33" s="2"/>
      <c r="AB33" s="2"/>
      <c r="AC33" s="2"/>
      <c r="AD33" s="2"/>
      <c r="AE33" s="6"/>
      <c r="AF33" s="7"/>
    </row>
    <row r="34" customFormat="false" ht="15" hidden="false" customHeight="false" outlineLevel="0" collapsed="false">
      <c r="A34" s="2"/>
      <c r="B34" s="2"/>
      <c r="C34" s="2"/>
      <c r="D34" s="2"/>
      <c r="E34" s="2"/>
      <c r="F34" s="2" t="n">
        <v>33</v>
      </c>
      <c r="G34" s="2" t="n">
        <v>30</v>
      </c>
      <c r="H34" s="2" t="s">
        <v>191</v>
      </c>
      <c r="I34" s="2" t="s">
        <v>192</v>
      </c>
      <c r="J34" s="2" t="s">
        <v>193</v>
      </c>
      <c r="K34" s="2" t="s">
        <v>159</v>
      </c>
      <c r="L34" s="2" t="s">
        <v>194</v>
      </c>
      <c r="M34" s="2"/>
      <c r="N34" s="2"/>
      <c r="O34" s="3" t="n">
        <v>4.4</v>
      </c>
      <c r="P34" s="4" t="n">
        <v>440</v>
      </c>
      <c r="Q34" s="5"/>
      <c r="R34" s="2"/>
      <c r="S34" s="4" t="n">
        <v>738</v>
      </c>
      <c r="T34" s="2" t="s">
        <v>110</v>
      </c>
      <c r="U34" s="2" t="s">
        <v>195</v>
      </c>
      <c r="V34" s="2"/>
      <c r="W34" s="2" t="s">
        <v>196</v>
      </c>
      <c r="X34" s="2" t="s">
        <v>41</v>
      </c>
      <c r="Y34" s="2" t="n">
        <v>0</v>
      </c>
      <c r="Z34" s="2"/>
      <c r="AA34" s="2"/>
      <c r="AB34" s="2"/>
      <c r="AC34" s="2"/>
      <c r="AD34" s="2"/>
      <c r="AE34" s="6"/>
      <c r="AF34" s="7"/>
    </row>
    <row r="35" customFormat="false" ht="15" hidden="false" customHeight="false" outlineLevel="0" collapsed="false">
      <c r="A35" s="2"/>
      <c r="B35" s="2"/>
      <c r="C35" s="2"/>
      <c r="D35" s="2"/>
      <c r="E35" s="2"/>
      <c r="F35" s="2" t="n">
        <v>34</v>
      </c>
      <c r="G35" s="2" t="n">
        <v>30</v>
      </c>
      <c r="H35" s="2" t="s">
        <v>197</v>
      </c>
      <c r="I35" s="2" t="s">
        <v>43</v>
      </c>
      <c r="J35" s="2" t="s">
        <v>198</v>
      </c>
      <c r="K35" s="2" t="s">
        <v>159</v>
      </c>
      <c r="L35" s="2" t="s">
        <v>199</v>
      </c>
      <c r="M35" s="2"/>
      <c r="N35" s="2"/>
      <c r="O35" s="3" t="n">
        <v>4.1</v>
      </c>
      <c r="P35" s="4" t="n">
        <v>395</v>
      </c>
      <c r="Q35" s="5"/>
      <c r="R35" s="2"/>
      <c r="S35" s="4" t="n">
        <v>516</v>
      </c>
      <c r="T35" s="2" t="s">
        <v>200</v>
      </c>
      <c r="U35" s="2" t="s">
        <v>201</v>
      </c>
      <c r="V35" s="2"/>
      <c r="W35" s="2" t="s">
        <v>202</v>
      </c>
      <c r="X35" s="2" t="s">
        <v>41</v>
      </c>
      <c r="Y35" s="2" t="n">
        <v>0</v>
      </c>
      <c r="Z35" s="2"/>
      <c r="AA35" s="2"/>
      <c r="AB35" s="2"/>
      <c r="AC35" s="2"/>
      <c r="AD35" s="2"/>
      <c r="AE35" s="6"/>
      <c r="AF35" s="7"/>
    </row>
    <row r="36" customFormat="false" ht="15" hidden="false" customHeight="false" outlineLevel="0" collapsed="false">
      <c r="A36" s="2"/>
      <c r="B36" s="2"/>
      <c r="C36" s="2"/>
      <c r="D36" s="2"/>
      <c r="E36" s="2"/>
      <c r="F36" s="2" t="n">
        <v>35</v>
      </c>
      <c r="G36" s="2" t="n">
        <v>27</v>
      </c>
      <c r="H36" s="2" t="s">
        <v>203</v>
      </c>
      <c r="I36" s="2" t="s">
        <v>50</v>
      </c>
      <c r="J36" s="2" t="s">
        <v>204</v>
      </c>
      <c r="K36" s="2" t="s">
        <v>159</v>
      </c>
      <c r="L36" s="2" t="s">
        <v>205</v>
      </c>
      <c r="M36" s="2"/>
      <c r="N36" s="2"/>
      <c r="O36" s="3" t="n">
        <v>2.9</v>
      </c>
      <c r="P36" s="4" t="n">
        <v>76</v>
      </c>
      <c r="Q36" s="5" t="n">
        <v>0.434</v>
      </c>
      <c r="R36" s="2" t="s">
        <v>37</v>
      </c>
      <c r="S36" s="4" t="n">
        <v>18</v>
      </c>
      <c r="T36" s="2" t="s">
        <v>206</v>
      </c>
      <c r="U36" s="2" t="s">
        <v>207</v>
      </c>
      <c r="V36" s="2"/>
      <c r="W36" s="2" t="s">
        <v>208</v>
      </c>
      <c r="X36" s="2" t="s">
        <v>41</v>
      </c>
      <c r="Y36" s="2" t="n">
        <v>0</v>
      </c>
      <c r="Z36" s="2"/>
      <c r="AA36" s="2"/>
      <c r="AB36" s="2"/>
      <c r="AC36" s="2"/>
      <c r="AD36" s="2"/>
      <c r="AE36" s="6"/>
      <c r="AF36" s="7"/>
    </row>
    <row r="37" customFormat="false" ht="15" hidden="false" customHeight="false" outlineLevel="0" collapsed="false">
      <c r="A37" s="2"/>
      <c r="B37" s="2"/>
      <c r="C37" s="2"/>
      <c r="D37" s="2"/>
      <c r="E37" s="2"/>
      <c r="F37" s="2" t="n">
        <v>36</v>
      </c>
      <c r="G37" s="2" t="n">
        <v>25</v>
      </c>
      <c r="H37" s="2" t="s">
        <v>209</v>
      </c>
      <c r="I37" s="2" t="s">
        <v>43</v>
      </c>
      <c r="J37" s="2" t="s">
        <v>210</v>
      </c>
      <c r="K37" s="2" t="s">
        <v>159</v>
      </c>
      <c r="L37" s="2" t="s">
        <v>211</v>
      </c>
      <c r="M37" s="2"/>
      <c r="N37" s="2"/>
      <c r="O37" s="3" t="n">
        <v>3.5</v>
      </c>
      <c r="P37" s="4" t="n">
        <v>305</v>
      </c>
      <c r="Q37" s="5"/>
      <c r="R37" s="2"/>
      <c r="S37" s="4" t="n">
        <v>258</v>
      </c>
      <c r="T37" s="2" t="s">
        <v>132</v>
      </c>
      <c r="U37" s="2" t="s">
        <v>212</v>
      </c>
      <c r="V37" s="2"/>
      <c r="W37" s="2" t="s">
        <v>213</v>
      </c>
      <c r="X37" s="2" t="s">
        <v>41</v>
      </c>
      <c r="Y37" s="2" t="n">
        <v>0</v>
      </c>
      <c r="Z37" s="2"/>
      <c r="AA37" s="2"/>
      <c r="AB37" s="2"/>
      <c r="AC37" s="2"/>
      <c r="AD37" s="2"/>
      <c r="AE37" s="6"/>
      <c r="AF37" s="7"/>
    </row>
    <row r="38" customFormat="false" ht="15" hidden="false" customHeight="false" outlineLevel="0" collapsed="false">
      <c r="A38" s="2"/>
      <c r="B38" s="2"/>
      <c r="C38" s="2"/>
      <c r="D38" s="2"/>
      <c r="E38" s="2"/>
      <c r="F38" s="2" t="n">
        <v>37</v>
      </c>
      <c r="G38" s="2" t="n">
        <v>25</v>
      </c>
      <c r="H38" s="2" t="s">
        <v>214</v>
      </c>
      <c r="I38" s="2" t="s">
        <v>215</v>
      </c>
      <c r="J38" s="2" t="s">
        <v>216</v>
      </c>
      <c r="K38" s="2" t="s">
        <v>159</v>
      </c>
      <c r="L38" s="2" t="s">
        <v>217</v>
      </c>
      <c r="M38" s="2"/>
      <c r="N38" s="2"/>
      <c r="O38" s="3" t="n">
        <v>3.7</v>
      </c>
      <c r="P38" s="4" t="n">
        <v>291</v>
      </c>
      <c r="Q38" s="5" t="n">
        <v>0.234</v>
      </c>
      <c r="R38" s="2"/>
      <c r="S38" s="4" t="n">
        <v>390</v>
      </c>
      <c r="T38" s="2"/>
      <c r="U38" s="2" t="s">
        <v>218</v>
      </c>
      <c r="V38" s="2"/>
      <c r="W38" s="2" t="s">
        <v>219</v>
      </c>
      <c r="X38" s="2" t="s">
        <v>41</v>
      </c>
      <c r="Y38" s="2" t="n">
        <v>0</v>
      </c>
      <c r="Z38" s="2"/>
      <c r="AA38" s="2"/>
      <c r="AB38" s="2"/>
      <c r="AC38" s="2"/>
      <c r="AD38" s="2"/>
      <c r="AE38" s="6"/>
      <c r="AF38" s="7"/>
    </row>
    <row r="39" customFormat="false" ht="15" hidden="false" customHeight="false" outlineLevel="0" collapsed="false">
      <c r="A39" s="2"/>
      <c r="B39" s="2"/>
      <c r="C39" s="2"/>
      <c r="D39" s="2"/>
      <c r="E39" s="2"/>
      <c r="F39" s="2" t="n">
        <v>38</v>
      </c>
      <c r="G39" s="2" t="n">
        <v>22</v>
      </c>
      <c r="H39" s="2" t="s">
        <v>220</v>
      </c>
      <c r="I39" s="2" t="s">
        <v>43</v>
      </c>
      <c r="J39" s="2" t="s">
        <v>221</v>
      </c>
      <c r="K39" s="2" t="s">
        <v>159</v>
      </c>
      <c r="L39" s="2" t="s">
        <v>222</v>
      </c>
      <c r="M39" s="2"/>
      <c r="N39" s="2"/>
      <c r="O39" s="3" t="n">
        <v>2.5</v>
      </c>
      <c r="P39" s="4" t="n">
        <v>152</v>
      </c>
      <c r="Q39" s="5" t="n">
        <v>0.546</v>
      </c>
      <c r="R39" s="2" t="s">
        <v>37</v>
      </c>
      <c r="S39" s="4" t="n">
        <v>30</v>
      </c>
      <c r="T39" s="2"/>
      <c r="U39" s="2" t="s">
        <v>223</v>
      </c>
      <c r="V39" s="2"/>
      <c r="W39" s="2" t="s">
        <v>224</v>
      </c>
      <c r="X39" s="2" t="s">
        <v>41</v>
      </c>
      <c r="Y39" s="2" t="n">
        <v>0</v>
      </c>
      <c r="Z39" s="2"/>
      <c r="AA39" s="2"/>
      <c r="AB39" s="2"/>
      <c r="AC39" s="2"/>
      <c r="AD39" s="2"/>
      <c r="AE39" s="6"/>
      <c r="AF39" s="7"/>
    </row>
    <row r="40" customFormat="false" ht="15" hidden="false" customHeight="false" outlineLevel="0" collapsed="false">
      <c r="A40" s="2"/>
      <c r="B40" s="2"/>
      <c r="C40" s="2"/>
      <c r="D40" s="2"/>
      <c r="E40" s="2"/>
      <c r="F40" s="2" t="n">
        <v>39</v>
      </c>
      <c r="G40" s="2" t="n">
        <v>22</v>
      </c>
      <c r="H40" s="2" t="s">
        <v>225</v>
      </c>
      <c r="I40" s="2" t="s">
        <v>192</v>
      </c>
      <c r="J40" s="2" t="s">
        <v>226</v>
      </c>
      <c r="K40" s="2" t="s">
        <v>159</v>
      </c>
      <c r="L40" s="2" t="s">
        <v>227</v>
      </c>
      <c r="M40" s="2"/>
      <c r="N40" s="2"/>
      <c r="O40" s="3" t="n">
        <v>4.1</v>
      </c>
      <c r="P40" s="4" t="n">
        <v>62</v>
      </c>
      <c r="Q40" s="5"/>
      <c r="R40" s="2"/>
      <c r="S40" s="4" t="n">
        <v>170</v>
      </c>
      <c r="T40" s="2" t="s">
        <v>110</v>
      </c>
      <c r="U40" s="2" t="s">
        <v>228</v>
      </c>
      <c r="V40" s="2"/>
      <c r="W40" s="2" t="s">
        <v>229</v>
      </c>
      <c r="X40" s="2" t="s">
        <v>41</v>
      </c>
      <c r="Y40" s="2" t="n">
        <v>0</v>
      </c>
      <c r="Z40" s="2"/>
      <c r="AA40" s="2"/>
      <c r="AB40" s="2"/>
      <c r="AC40" s="2"/>
      <c r="AD40" s="2"/>
      <c r="AE40" s="6"/>
      <c r="AF40" s="7"/>
    </row>
    <row r="41" customFormat="false" ht="15" hidden="false" customHeight="false" outlineLevel="0" collapsed="false">
      <c r="A41" s="2"/>
      <c r="B41" s="2"/>
      <c r="C41" s="2"/>
      <c r="D41" s="2"/>
      <c r="E41" s="2"/>
      <c r="F41" s="2" t="n">
        <v>40</v>
      </c>
      <c r="G41" s="2" t="n">
        <v>20</v>
      </c>
      <c r="H41" s="2" t="s">
        <v>230</v>
      </c>
      <c r="I41" s="2" t="s">
        <v>231</v>
      </c>
      <c r="J41" s="2" t="s">
        <v>232</v>
      </c>
      <c r="K41" s="2" t="s">
        <v>159</v>
      </c>
      <c r="L41" s="2" t="s">
        <v>233</v>
      </c>
      <c r="M41" s="2"/>
      <c r="N41" s="2"/>
      <c r="O41" s="3" t="n">
        <v>4.9</v>
      </c>
      <c r="P41" s="4" t="n">
        <v>29</v>
      </c>
      <c r="Q41" s="5"/>
      <c r="R41" s="2"/>
      <c r="S41" s="4" t="n">
        <v>147</v>
      </c>
      <c r="T41" s="2" t="s">
        <v>97</v>
      </c>
      <c r="U41" s="2" t="s">
        <v>234</v>
      </c>
      <c r="V41" s="2"/>
      <c r="W41" s="2" t="s">
        <v>235</v>
      </c>
      <c r="X41" s="2" t="s">
        <v>41</v>
      </c>
      <c r="Y41" s="2" t="n">
        <v>0</v>
      </c>
      <c r="Z41" s="2"/>
      <c r="AA41" s="2"/>
      <c r="AB41" s="2"/>
      <c r="AC41" s="2"/>
      <c r="AD41" s="2"/>
      <c r="AE41" s="6"/>
      <c r="AF41" s="7"/>
    </row>
    <row r="42" customFormat="false" ht="15" hidden="false" customHeight="false" outlineLevel="0" collapsed="false">
      <c r="A42" s="2"/>
      <c r="B42" s="2"/>
      <c r="C42" s="2"/>
      <c r="D42" s="2"/>
      <c r="E42" s="2"/>
      <c r="F42" s="2" t="n">
        <v>41</v>
      </c>
      <c r="G42" s="2" t="n">
        <v>20</v>
      </c>
      <c r="H42" s="2" t="s">
        <v>236</v>
      </c>
      <c r="I42" s="2" t="s">
        <v>237</v>
      </c>
      <c r="J42" s="2" t="s">
        <v>238</v>
      </c>
      <c r="K42" s="2" t="s">
        <v>159</v>
      </c>
      <c r="L42" s="2" t="s">
        <v>239</v>
      </c>
      <c r="M42" s="2"/>
      <c r="N42" s="2"/>
      <c r="O42" s="3" t="n">
        <v>4.8</v>
      </c>
      <c r="P42" s="4" t="n">
        <v>24</v>
      </c>
      <c r="Q42" s="5" t="n">
        <v>0.042</v>
      </c>
      <c r="R42" s="2"/>
      <c r="S42" s="4" t="n">
        <v>49</v>
      </c>
      <c r="T42" s="2" t="s">
        <v>57</v>
      </c>
      <c r="U42" s="2" t="s">
        <v>240</v>
      </c>
      <c r="V42" s="2"/>
      <c r="W42" s="2" t="s">
        <v>241</v>
      </c>
      <c r="X42" s="2" t="s">
        <v>41</v>
      </c>
      <c r="Y42" s="2" t="n">
        <v>0</v>
      </c>
      <c r="Z42" s="2"/>
      <c r="AA42" s="2"/>
      <c r="AB42" s="2"/>
      <c r="AC42" s="2"/>
      <c r="AD42" s="2"/>
      <c r="AE42" s="6"/>
      <c r="AF42" s="7"/>
    </row>
    <row r="43" customFormat="false" ht="15" hidden="false" customHeight="false" outlineLevel="0" collapsed="false">
      <c r="A43" s="2"/>
      <c r="B43" s="2"/>
      <c r="C43" s="2"/>
      <c r="D43" s="2"/>
      <c r="E43" s="2"/>
      <c r="F43" s="2" t="n">
        <v>42</v>
      </c>
      <c r="G43" s="2" t="n">
        <v>17</v>
      </c>
      <c r="H43" s="2" t="s">
        <v>242</v>
      </c>
      <c r="I43" s="2" t="s">
        <v>43</v>
      </c>
      <c r="J43" s="2" t="s">
        <v>243</v>
      </c>
      <c r="K43" s="2" t="s">
        <v>159</v>
      </c>
      <c r="L43" s="2" t="s">
        <v>244</v>
      </c>
      <c r="M43" s="2"/>
      <c r="N43" s="2"/>
      <c r="O43" s="3" t="n">
        <v>3</v>
      </c>
      <c r="P43" s="4" t="n">
        <v>106</v>
      </c>
      <c r="Q43" s="5" t="n">
        <v>0.387</v>
      </c>
      <c r="R43" s="2"/>
      <c r="S43" s="4" t="n">
        <v>23</v>
      </c>
      <c r="T43" s="2" t="s">
        <v>245</v>
      </c>
      <c r="U43" s="2" t="s">
        <v>246</v>
      </c>
      <c r="V43" s="2"/>
      <c r="W43" s="2" t="s">
        <v>247</v>
      </c>
      <c r="X43" s="2" t="s">
        <v>41</v>
      </c>
      <c r="Y43" s="2" t="n">
        <v>0</v>
      </c>
      <c r="Z43" s="2"/>
      <c r="AA43" s="2"/>
      <c r="AB43" s="2"/>
      <c r="AC43" s="2"/>
      <c r="AD43" s="2"/>
      <c r="AE43" s="6"/>
      <c r="AF43" s="7"/>
    </row>
    <row r="44" customFormat="false" ht="15" hidden="false" customHeight="false" outlineLevel="0" collapsed="false">
      <c r="A44" s="2"/>
      <c r="B44" s="2"/>
      <c r="C44" s="2"/>
      <c r="D44" s="2"/>
      <c r="E44" s="2"/>
      <c r="F44" s="2" t="n">
        <v>43</v>
      </c>
      <c r="G44" s="2" t="n">
        <v>12</v>
      </c>
      <c r="H44" s="2" t="s">
        <v>248</v>
      </c>
      <c r="I44" s="2" t="s">
        <v>50</v>
      </c>
      <c r="J44" s="2" t="s">
        <v>249</v>
      </c>
      <c r="K44" s="2" t="s">
        <v>159</v>
      </c>
      <c r="L44" s="2" t="s">
        <v>250</v>
      </c>
      <c r="M44" s="2"/>
      <c r="N44" s="2"/>
      <c r="O44" s="3" t="n">
        <v>2.8</v>
      </c>
      <c r="P44" s="4" t="n">
        <v>68</v>
      </c>
      <c r="Q44" s="5"/>
      <c r="R44" s="2"/>
      <c r="S44" s="4" t="n">
        <v>219</v>
      </c>
      <c r="T44" s="2"/>
      <c r="U44" s="2" t="s">
        <v>251</v>
      </c>
      <c r="V44" s="2"/>
      <c r="W44" s="2" t="s">
        <v>252</v>
      </c>
      <c r="X44" s="2" t="s">
        <v>41</v>
      </c>
      <c r="Y44" s="2" t="n">
        <v>0</v>
      </c>
      <c r="Z44" s="2"/>
      <c r="AA44" s="2"/>
      <c r="AB44" s="2"/>
      <c r="AC44" s="2"/>
      <c r="AD44" s="2"/>
      <c r="AE44" s="6"/>
      <c r="AF44" s="7"/>
    </row>
  </sheetData>
  <autoFilter ref="A1:AF44"/>
  <conditionalFormatting sqref="G2:G44">
    <cfRule type="cellIs" priority="2" operator="greaterThanOrEqual" aboveAverage="0" equalAverage="0" bottom="0" percent="0" rank="0" text="" dxfId="9">
      <formula>70</formula>
    </cfRule>
    <cfRule type="cellIs" priority="3" operator="between" aboveAverage="0" equalAverage="0" bottom="0" percent="0" rank="0" text="" dxfId="10">
      <formula>50</formula>
      <formula>69</formula>
    </cfRule>
    <cfRule type="cellIs" priority="4" operator="lessThan" aboveAverage="0" equalAverage="0" bottom="0" percent="0" rank="0" text="" dxfId="11">
      <formula>50</formula>
    </cfRule>
  </conditionalFormatting>
  <conditionalFormatting sqref="K2:K44">
    <cfRule type="cellIs" priority="5" operator="equal" aboveAverage="0" equalAverage="0" bottom="0" percent="0" rank="0" text="" dxfId="12">
      <formula>"No website"</formula>
    </cfRule>
  </conditionalFormatting>
  <conditionalFormatting sqref="Q2:Q44">
    <cfRule type="cellIs" priority="6" operator="greaterThan" aboveAverage="0" equalAverage="0" bottom="0" percent="0" rank="0" text="" dxfId="13">
      <formula>0.4</formula>
    </cfRule>
  </conditionalFormatting>
  <conditionalFormatting sqref="N2:N44">
    <cfRule type="cellIs" priority="7" operator="equal" aboveAverage="0" equalAverage="0" bottom="0" percent="0" rank="0" text="" dxfId="12">
      <formula>"No"</formula>
    </cfRule>
  </conditionalFormatting>
  <conditionalFormatting sqref="A2:W44">
    <cfRule type="expression" priority="8" aboveAverage="0" equalAverage="0" bottom="0" percent="0" rank="0" text="" dxfId="14">
      <formula>OR($X2="Not interested",$X2="Do not call",$X2="Bad number")</formula>
    </cfRule>
    <cfRule type="expression" priority="9" aboveAverage="0" equalAverage="0" bottom="0" percent="0" rank="0" text="" dxfId="15">
      <formula>$X2="Booked call"</formula>
    </cfRule>
  </conditionalFormatting>
  <conditionalFormatting sqref="A2:A44">
    <cfRule type="expression" priority="10" aboveAverage="0" equalAverage="0" bottom="0" percent="0" rank="0" text="" dxfId="16">
      <formula>$A2=""</formula>
    </cfRule>
  </conditionalFormatting>
  <dataValidations count="5">
    <dataValidation allowBlank="true" errorStyle="stop" operator="between" showDropDown="false" showErrorMessage="false" showInputMessage="false" sqref="X2:X44" type="list">
      <formula1>"Not called,No answer,Voicemail,Gatekeeper,Reached owner,Booked call,Not interested,Do not call,Bad number"</formula1>
      <formula2>0</formula2>
    </dataValidation>
    <dataValidation allowBlank="true" errorStyle="stop" operator="between" showDropDown="false" showErrorMessage="false" showInputMessage="false" sqref="AC2:AC44" type="list">
      <formula1>"Interested,Maybe later,Wants proposal,Has agency,No budget,Not interested,No decision maker"</formula1>
      <formula2>0</formula2>
    </dataValidation>
    <dataValidation allowBlank="true" errorStyle="stop" operator="between" showDropDown="false" showErrorMessage="false" showInputMessage="false" sqref="B2:B44 AB2:AB44" type="list">
      <formula1>"Owner,GM,Manager,Front desk,Marketing,Unknown"</formula1>
      <formula2>0</formula2>
    </dataValidation>
    <dataValidation allowBlank="true" errorStyle="stop" operator="between" showDropDown="false" showErrorMessage="false" showInputMessage="false" sqref="M2:M44" type="list">
      <formula1>"Wix,Squarespace,GoDaddy,WordPress,Weebly,Custom,Wordpress+builder,Unknown"</formula1>
      <formula2>0</formula2>
    </dataValidation>
    <dataValidation allowBlank="true" errorStyle="stop" operator="between" showDropDown="false" showErrorMessage="false" showInputMessage="false" sqref="N2:N44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2"/>
  </cols>
  <sheetData>
    <row r="1" customFormat="false" ht="19.7" hidden="false" customHeight="false" outlineLevel="0" collapsed="false">
      <c r="A1" s="8" t="s">
        <v>253</v>
      </c>
    </row>
    <row r="2" customFormat="false" ht="15" hidden="false" customHeight="false" outlineLevel="0" collapsed="false">
      <c r="A2" s="9" t="s">
        <v>254</v>
      </c>
    </row>
    <row r="4" customFormat="false" ht="15" hidden="false" customHeight="false" outlineLevel="0" collapsed="false">
      <c r="A4" s="10" t="s">
        <v>255</v>
      </c>
      <c r="B4" s="11"/>
    </row>
    <row r="5" customFormat="false" ht="15" hidden="false" customHeight="false" outlineLevel="0" collapsed="false">
      <c r="A5" s="12" t="s">
        <v>256</v>
      </c>
      <c r="B5" s="13" t="n">
        <v>404</v>
      </c>
    </row>
    <row r="6" customFormat="false" ht="15" hidden="false" customHeight="false" outlineLevel="0" collapsed="false">
      <c r="A6" s="12" t="s">
        <v>257</v>
      </c>
      <c r="B6" s="14" t="n">
        <v>187</v>
      </c>
    </row>
    <row r="7" customFormat="false" ht="15" hidden="false" customHeight="false" outlineLevel="0" collapsed="false">
      <c r="A7" s="12" t="s">
        <v>258</v>
      </c>
      <c r="B7" s="14" t="n">
        <v>88</v>
      </c>
    </row>
    <row r="8" customFormat="false" ht="15" hidden="false" customHeight="false" outlineLevel="0" collapsed="false">
      <c r="A8" s="12" t="s">
        <v>259</v>
      </c>
      <c r="B8" s="14" t="n">
        <v>60</v>
      </c>
    </row>
    <row r="9" customFormat="false" ht="15" hidden="false" customHeight="false" outlineLevel="0" collapsed="false">
      <c r="A9" s="12" t="s">
        <v>260</v>
      </c>
      <c r="B9" s="14" t="n">
        <v>23</v>
      </c>
    </row>
    <row r="10" customFormat="false" ht="15" hidden="false" customHeight="false" outlineLevel="0" collapsed="false">
      <c r="A10" s="12" t="s">
        <v>261</v>
      </c>
      <c r="B10" s="14" t="n">
        <v>3</v>
      </c>
    </row>
    <row r="11" customFormat="false" ht="15" hidden="false" customHeight="false" outlineLevel="0" collapsed="false">
      <c r="A11" s="15" t="s">
        <v>262</v>
      </c>
      <c r="B11" s="16" t="n">
        <f aca="false">B5-SUM(B6:B10)</f>
        <v>43</v>
      </c>
    </row>
    <row r="12" customFormat="false" ht="15" hidden="false" customHeight="false" outlineLevel="0" collapsed="false">
      <c r="A12" s="17" t="s">
        <v>263</v>
      </c>
      <c r="B12" s="18" t="n">
        <f aca="false">B11/B5</f>
        <v>0.106435643564356</v>
      </c>
    </row>
    <row r="14" customFormat="false" ht="15" hidden="false" customHeight="false" outlineLevel="0" collapsed="false">
      <c r="A14" s="10" t="s">
        <v>264</v>
      </c>
      <c r="B14" s="11"/>
    </row>
    <row r="15" customFormat="false" ht="15" hidden="false" customHeight="false" outlineLevel="0" collapsed="false">
      <c r="A15" s="12" t="s">
        <v>45</v>
      </c>
      <c r="B15" s="13" t="n">
        <f aca="false">COUNTIF('Call List'!$K$2:$K$44,A15)</f>
        <v>23</v>
      </c>
    </row>
    <row r="16" customFormat="false" ht="15" hidden="false" customHeight="false" outlineLevel="0" collapsed="false">
      <c r="A16" s="12" t="s">
        <v>35</v>
      </c>
      <c r="B16" s="13" t="n">
        <f aca="false">COUNTIF('Call List'!$K$2:$K$44,A16)</f>
        <v>3</v>
      </c>
    </row>
    <row r="17" customFormat="false" ht="15" hidden="false" customHeight="false" outlineLevel="0" collapsed="false">
      <c r="A17" s="12" t="s">
        <v>265</v>
      </c>
      <c r="B17" s="13" t="n">
        <f aca="false">COUNTIF('Call List'!$K$2:$K$44,A17)</f>
        <v>0</v>
      </c>
    </row>
    <row r="18" customFormat="false" ht="15" hidden="false" customHeight="false" outlineLevel="0" collapsed="false">
      <c r="A18" s="12" t="s">
        <v>159</v>
      </c>
      <c r="B18" s="13" t="n">
        <f aca="false">COUNTIF('Call List'!$K$2:$K$44,A18)</f>
        <v>17</v>
      </c>
    </row>
    <row r="20" customFormat="false" ht="15" hidden="false" customHeight="false" outlineLevel="0" collapsed="false">
      <c r="A20" s="10" t="s">
        <v>266</v>
      </c>
      <c r="B20" s="11"/>
    </row>
    <row r="21" customFormat="false" ht="15" hidden="false" customHeight="false" outlineLevel="0" collapsed="false">
      <c r="A21" s="12" t="s">
        <v>267</v>
      </c>
      <c r="B21" s="13" t="n">
        <f aca="false">COUNTIF('Call List'!$M$2:$M$44,A21)</f>
        <v>0</v>
      </c>
    </row>
    <row r="22" customFormat="false" ht="15" hidden="false" customHeight="false" outlineLevel="0" collapsed="false">
      <c r="A22" s="12" t="s">
        <v>268</v>
      </c>
      <c r="B22" s="13" t="n">
        <f aca="false">COUNTIF('Call List'!$M$2:$M$44,A22)</f>
        <v>0</v>
      </c>
    </row>
    <row r="23" customFormat="false" ht="15" hidden="false" customHeight="false" outlineLevel="0" collapsed="false">
      <c r="A23" s="12" t="s">
        <v>269</v>
      </c>
      <c r="B23" s="13" t="n">
        <f aca="false">COUNTIF('Call List'!$M$2:$M$44,A23)</f>
        <v>0</v>
      </c>
    </row>
    <row r="24" customFormat="false" ht="15" hidden="false" customHeight="false" outlineLevel="0" collapsed="false">
      <c r="A24" s="12" t="s">
        <v>270</v>
      </c>
      <c r="B24" s="13" t="n">
        <f aca="false">COUNTIF('Call List'!$M$2:$M$44,A24)</f>
        <v>0</v>
      </c>
    </row>
    <row r="25" customFormat="false" ht="15" hidden="false" customHeight="false" outlineLevel="0" collapsed="false">
      <c r="A25" s="12" t="s">
        <v>271</v>
      </c>
      <c r="B25" s="13" t="n">
        <f aca="false">COUNTIF('Call List'!$M$2:$M$44,A25)</f>
        <v>0</v>
      </c>
    </row>
    <row r="26" customFormat="false" ht="15" hidden="false" customHeight="false" outlineLevel="0" collapsed="false">
      <c r="A26" s="12" t="s">
        <v>272</v>
      </c>
      <c r="B26" s="13" t="n">
        <f aca="false">COUNTIF('Call List'!$M$2:$M$44,A26)</f>
        <v>0</v>
      </c>
    </row>
    <row r="27" customFormat="false" ht="15" hidden="false" customHeight="false" outlineLevel="0" collapsed="false">
      <c r="A27" s="12" t="s">
        <v>273</v>
      </c>
      <c r="B27" s="13" t="n">
        <f aca="false">COUNTIF('Call List'!$M$2:$M$44,A27)</f>
        <v>0</v>
      </c>
    </row>
    <row r="28" customFormat="false" ht="15" hidden="false" customHeight="false" outlineLevel="0" collapsed="false">
      <c r="A28" s="19" t="s">
        <v>274</v>
      </c>
      <c r="B28" s="20" t="n">
        <f aca="false">COUNTIF('Call List'!$N$2:$N$44,"No")</f>
        <v>0</v>
      </c>
    </row>
    <row r="30" customFormat="false" ht="15" hidden="false" customHeight="false" outlineLevel="0" collapsed="false">
      <c r="A30" s="10" t="s">
        <v>275</v>
      </c>
      <c r="B30" s="11"/>
    </row>
    <row r="31" customFormat="false" ht="15" hidden="false" customHeight="false" outlineLevel="0" collapsed="false">
      <c r="A31" s="12" t="s">
        <v>276</v>
      </c>
      <c r="B31" s="13" t="n">
        <f aca="false">COUNTA('Call List'!$A$2:$A$44)</f>
        <v>0</v>
      </c>
    </row>
    <row r="32" customFormat="false" ht="15" hidden="false" customHeight="false" outlineLevel="0" collapsed="false">
      <c r="A32" s="12" t="s">
        <v>277</v>
      </c>
      <c r="B32" s="13" t="n">
        <f aca="false">43-B31</f>
        <v>43</v>
      </c>
    </row>
    <row r="34" customFormat="false" ht="15" hidden="false" customHeight="false" outlineLevel="0" collapsed="false">
      <c r="A34" s="10" t="s">
        <v>278</v>
      </c>
      <c r="B34" s="11"/>
    </row>
    <row r="35" customFormat="false" ht="15" hidden="false" customHeight="false" outlineLevel="0" collapsed="false">
      <c r="A35" s="12" t="s">
        <v>41</v>
      </c>
      <c r="B35" s="13" t="n">
        <f aca="false">COUNTIF('Call List'!$X$2:$X$44,A35)</f>
        <v>43</v>
      </c>
    </row>
    <row r="36" customFormat="false" ht="15" hidden="false" customHeight="false" outlineLevel="0" collapsed="false">
      <c r="A36" s="12" t="s">
        <v>279</v>
      </c>
      <c r="B36" s="13" t="n">
        <f aca="false">COUNTIF('Call List'!$X$2:$X$44,A36)</f>
        <v>0</v>
      </c>
    </row>
    <row r="37" customFormat="false" ht="15" hidden="false" customHeight="false" outlineLevel="0" collapsed="false">
      <c r="A37" s="12" t="s">
        <v>280</v>
      </c>
      <c r="B37" s="13" t="n">
        <f aca="false">COUNTIF('Call List'!$X$2:$X$44,A37)</f>
        <v>0</v>
      </c>
    </row>
    <row r="38" customFormat="false" ht="15" hidden="false" customHeight="false" outlineLevel="0" collapsed="false">
      <c r="A38" s="12" t="s">
        <v>281</v>
      </c>
      <c r="B38" s="13" t="n">
        <f aca="false">COUNTIF('Call List'!$X$2:$X$44,A38)</f>
        <v>0</v>
      </c>
    </row>
    <row r="39" customFormat="false" ht="15" hidden="false" customHeight="false" outlineLevel="0" collapsed="false">
      <c r="A39" s="12" t="s">
        <v>282</v>
      </c>
      <c r="B39" s="13" t="n">
        <f aca="false">COUNTIF('Call List'!$X$2:$X$44,A39)</f>
        <v>0</v>
      </c>
    </row>
    <row r="40" customFormat="false" ht="15" hidden="false" customHeight="false" outlineLevel="0" collapsed="false">
      <c r="A40" s="12" t="s">
        <v>283</v>
      </c>
      <c r="B40" s="13" t="n">
        <f aca="false">COUNTIF('Call List'!$X$2:$X$44,A40)</f>
        <v>0</v>
      </c>
    </row>
    <row r="41" customFormat="false" ht="15" hidden="false" customHeight="false" outlineLevel="0" collapsed="false">
      <c r="A41" s="12" t="s">
        <v>284</v>
      </c>
      <c r="B41" s="13" t="n">
        <f aca="false">COUNTIF('Call List'!$X$2:$X$44,A41)</f>
        <v>0</v>
      </c>
    </row>
    <row r="42" customFormat="false" ht="15" hidden="false" customHeight="false" outlineLevel="0" collapsed="false">
      <c r="A42" s="12" t="s">
        <v>285</v>
      </c>
      <c r="B42" s="13" t="n">
        <f aca="false">COUNTIF('Call List'!$X$2:$X$44,A42)</f>
        <v>0</v>
      </c>
    </row>
    <row r="43" customFormat="false" ht="15" hidden="false" customHeight="false" outlineLevel="0" collapsed="false">
      <c r="A43" s="12" t="s">
        <v>286</v>
      </c>
      <c r="B43" s="13" t="n">
        <f aca="false">COUNTIF('Call List'!$X$2:$X$44,A43)</f>
        <v>0</v>
      </c>
    </row>
    <row r="45" customFormat="false" ht="15" hidden="false" customHeight="false" outlineLevel="0" collapsed="false">
      <c r="A45" s="10" t="s">
        <v>287</v>
      </c>
      <c r="B45" s="11"/>
    </row>
    <row r="46" customFormat="false" ht="15" hidden="false" customHeight="false" outlineLevel="0" collapsed="false">
      <c r="A46" s="12" t="s">
        <v>288</v>
      </c>
      <c r="B46" s="13" t="n">
        <f aca="false">SUM('Call List'!$Y$2:$Y$44)</f>
        <v>0</v>
      </c>
    </row>
    <row r="47" customFormat="false" ht="15" hidden="false" customHeight="false" outlineLevel="0" collapsed="false">
      <c r="A47" s="12" t="s">
        <v>289</v>
      </c>
      <c r="B47" s="13" t="n">
        <f aca="false">COUNTIF('Call List'!$X$2:$X$44,"Reached owner")+COUNTIF('Call List'!$X$2:$X$44,"Booked call")</f>
        <v>0</v>
      </c>
    </row>
    <row r="48" customFormat="false" ht="15" hidden="false" customHeight="false" outlineLevel="0" collapsed="false">
      <c r="A48" s="12" t="s">
        <v>290</v>
      </c>
      <c r="B48" s="13" t="n">
        <f aca="false">COUNTIF('Call List'!$X$2:$X$44,"Booked call")</f>
        <v>0</v>
      </c>
    </row>
    <row r="49" customFormat="false" ht="15" hidden="false" customHeight="false" outlineLevel="0" collapsed="false">
      <c r="A49" s="12" t="s">
        <v>291</v>
      </c>
      <c r="B49" s="21" t="n">
        <f aca="false">IFERROR(B47/B46,0)</f>
        <v>0</v>
      </c>
    </row>
    <row r="50" customFormat="false" ht="15" hidden="false" customHeight="false" outlineLevel="0" collapsed="false">
      <c r="A50" s="12" t="s">
        <v>292</v>
      </c>
      <c r="B50" s="21" t="n">
        <f aca="false">IFERROR(B48/B47,0)</f>
        <v>0</v>
      </c>
    </row>
    <row r="53" customFormat="false" ht="15" hidden="false" customHeight="false" outlineLevel="0" collapsed="false">
      <c r="A53" s="10" t="s">
        <v>293</v>
      </c>
      <c r="B53" s="11"/>
    </row>
    <row r="54" customFormat="false" ht="15" hidden="false" customHeight="false" outlineLevel="0" collapsed="false">
      <c r="A54" s="22" t="s">
        <v>294</v>
      </c>
      <c r="B54" s="23" t="s">
        <v>295</v>
      </c>
    </row>
    <row r="55" customFormat="false" ht="15" hidden="false" customHeight="false" outlineLevel="0" collapsed="false">
      <c r="A55" s="22" t="s">
        <v>296</v>
      </c>
      <c r="B55" s="23" t="s">
        <v>297</v>
      </c>
    </row>
    <row r="56" customFormat="false" ht="15" hidden="false" customHeight="false" outlineLevel="0" collapsed="false">
      <c r="A56" s="22" t="s">
        <v>298</v>
      </c>
      <c r="B56" s="23" t="s">
        <v>299</v>
      </c>
    </row>
    <row r="57" customFormat="false" ht="15" hidden="false" customHeight="false" outlineLevel="0" collapsed="false">
      <c r="A57" s="22" t="s">
        <v>300</v>
      </c>
      <c r="B57" s="23" t="s">
        <v>301</v>
      </c>
    </row>
    <row r="58" customFormat="false" ht="15" hidden="false" customHeight="false" outlineLevel="0" collapsed="false">
      <c r="A58" s="22" t="s">
        <v>302</v>
      </c>
      <c r="B58" s="23" t="s">
        <v>303</v>
      </c>
    </row>
    <row r="59" customFormat="false" ht="15" hidden="false" customHeight="false" outlineLevel="0" collapsed="false">
      <c r="A59" s="22" t="s">
        <v>304</v>
      </c>
      <c r="B59" s="23" t="s">
        <v>305</v>
      </c>
    </row>
    <row r="60" customFormat="false" ht="15" hidden="false" customHeight="false" outlineLevel="0" collapsed="false">
      <c r="A60" s="22"/>
      <c r="B60" s="23"/>
    </row>
    <row r="61" customFormat="false" ht="15" hidden="false" customHeight="false" outlineLevel="0" collapsed="false">
      <c r="A61" s="22" t="s">
        <v>306</v>
      </c>
      <c r="B61" s="23"/>
    </row>
    <row r="62" customFormat="false" ht="15" hidden="false" customHeight="false" outlineLevel="0" collapsed="false">
      <c r="A62" s="22" t="s">
        <v>307</v>
      </c>
      <c r="B62" s="23" t="s">
        <v>308</v>
      </c>
    </row>
    <row r="63" customFormat="false" ht="15" hidden="false" customHeight="false" outlineLevel="0" collapsed="false">
      <c r="A63" s="22" t="s">
        <v>309</v>
      </c>
      <c r="B63" s="23" t="s">
        <v>310</v>
      </c>
    </row>
    <row r="64" customFormat="false" ht="15" hidden="false" customHeight="false" outlineLevel="0" collapsed="false">
      <c r="A64" s="22" t="s">
        <v>311</v>
      </c>
      <c r="B64" s="23" t="s">
        <v>312</v>
      </c>
    </row>
    <row r="65" customFormat="false" ht="15" hidden="false" customHeight="false" outlineLevel="0" collapsed="false">
      <c r="A65" s="22" t="s">
        <v>313</v>
      </c>
      <c r="B65" s="23" t="s">
        <v>314</v>
      </c>
    </row>
    <row r="66" customFormat="false" ht="15" hidden="false" customHeight="false" outlineLevel="0" collapsed="false">
      <c r="A66" s="22" t="s">
        <v>315</v>
      </c>
      <c r="B66" s="23" t="s">
        <v>316</v>
      </c>
    </row>
    <row r="67" customFormat="false" ht="15" hidden="false" customHeight="false" outlineLevel="0" collapsed="false">
      <c r="A67" s="22" t="s">
        <v>317</v>
      </c>
      <c r="B67" s="23" t="s">
        <v>318</v>
      </c>
    </row>
    <row r="68" customFormat="false" ht="15" hidden="false" customHeight="false" outlineLevel="0" collapsed="false">
      <c r="A68" s="22" t="s">
        <v>319</v>
      </c>
      <c r="B68" s="23" t="s">
        <v>320</v>
      </c>
    </row>
    <row r="69" customFormat="false" ht="15" hidden="false" customHeight="false" outlineLevel="0" collapsed="false">
      <c r="A69" s="22" t="s">
        <v>321</v>
      </c>
      <c r="B69" s="23" t="s">
        <v>320</v>
      </c>
    </row>
    <row r="70" customFormat="false" ht="15" hidden="false" customHeight="false" outlineLevel="0" collapsed="false">
      <c r="A70" s="22" t="s">
        <v>322</v>
      </c>
      <c r="B70" s="23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24" t="s">
        <v>7</v>
      </c>
      <c r="B1" s="24" t="s">
        <v>8</v>
      </c>
      <c r="C1" s="24" t="s">
        <v>11</v>
      </c>
      <c r="D1" s="24" t="s">
        <v>15</v>
      </c>
      <c r="E1" s="24" t="s">
        <v>324</v>
      </c>
    </row>
    <row r="2" customFormat="false" ht="15" hidden="false" customHeight="false" outlineLevel="0" collapsed="false">
      <c r="A2" s="12" t="s">
        <v>325</v>
      </c>
      <c r="B2" s="12" t="s">
        <v>43</v>
      </c>
      <c r="C2" s="12" t="s">
        <v>326</v>
      </c>
      <c r="D2" s="12" t="n">
        <v>1578</v>
      </c>
      <c r="E2" s="12" t="s">
        <v>327</v>
      </c>
    </row>
    <row r="3" customFormat="false" ht="15" hidden="false" customHeight="false" outlineLevel="0" collapsed="false">
      <c r="A3" s="12" t="s">
        <v>328</v>
      </c>
      <c r="B3" s="12" t="s">
        <v>43</v>
      </c>
      <c r="C3" s="12" t="s">
        <v>329</v>
      </c>
      <c r="D3" s="12" t="n">
        <v>5933</v>
      </c>
      <c r="E3" s="12" t="s">
        <v>327</v>
      </c>
    </row>
    <row r="4" customFormat="false" ht="15" hidden="false" customHeight="false" outlineLevel="0" collapsed="false">
      <c r="A4" s="12" t="s">
        <v>330</v>
      </c>
      <c r="B4" s="12" t="s">
        <v>43</v>
      </c>
      <c r="C4" s="12" t="s">
        <v>331</v>
      </c>
      <c r="D4" s="12" t="n">
        <v>544</v>
      </c>
      <c r="E4" s="12" t="s">
        <v>327</v>
      </c>
    </row>
    <row r="5" customFormat="false" ht="15" hidden="false" customHeight="false" outlineLevel="0" collapsed="false">
      <c r="A5" s="12" t="s">
        <v>332</v>
      </c>
      <c r="B5" s="12" t="s">
        <v>43</v>
      </c>
      <c r="C5" s="12" t="s">
        <v>333</v>
      </c>
      <c r="D5" s="12" t="n">
        <v>337</v>
      </c>
      <c r="E5" s="12" t="s">
        <v>327</v>
      </c>
    </row>
    <row r="6" customFormat="false" ht="15" hidden="false" customHeight="false" outlineLevel="0" collapsed="false">
      <c r="A6" s="12" t="s">
        <v>334</v>
      </c>
      <c r="B6" s="12" t="s">
        <v>43</v>
      </c>
      <c r="C6" s="12" t="s">
        <v>335</v>
      </c>
      <c r="D6" s="12" t="n">
        <v>1596</v>
      </c>
      <c r="E6" s="12" t="s">
        <v>327</v>
      </c>
    </row>
    <row r="7" customFormat="false" ht="15" hidden="false" customHeight="false" outlineLevel="0" collapsed="false">
      <c r="A7" s="12" t="s">
        <v>336</v>
      </c>
      <c r="B7" s="12" t="s">
        <v>43</v>
      </c>
      <c r="C7" s="12" t="s">
        <v>337</v>
      </c>
      <c r="D7" s="12" t="n">
        <v>2470</v>
      </c>
      <c r="E7" s="12" t="s">
        <v>327</v>
      </c>
    </row>
    <row r="8" customFormat="false" ht="15" hidden="false" customHeight="false" outlineLevel="0" collapsed="false">
      <c r="A8" s="12" t="s">
        <v>338</v>
      </c>
      <c r="B8" s="12" t="s">
        <v>43</v>
      </c>
      <c r="C8" s="12"/>
      <c r="D8" s="12"/>
      <c r="E8" s="12" t="s">
        <v>339</v>
      </c>
    </row>
    <row r="9" customFormat="false" ht="15" hidden="false" customHeight="false" outlineLevel="0" collapsed="false">
      <c r="A9" s="12" t="s">
        <v>340</v>
      </c>
      <c r="B9" s="12" t="s">
        <v>341</v>
      </c>
      <c r="C9" s="12" t="s">
        <v>342</v>
      </c>
      <c r="D9" s="12" t="n">
        <v>2</v>
      </c>
      <c r="E9" s="12" t="s">
        <v>339</v>
      </c>
    </row>
    <row r="10" customFormat="false" ht="15" hidden="false" customHeight="false" outlineLevel="0" collapsed="false">
      <c r="A10" s="12" t="s">
        <v>343</v>
      </c>
      <c r="B10" s="12" t="s">
        <v>43</v>
      </c>
      <c r="C10" s="12" t="s">
        <v>344</v>
      </c>
      <c r="D10" s="12" t="n">
        <v>1329</v>
      </c>
      <c r="E10" s="12" t="s">
        <v>327</v>
      </c>
    </row>
    <row r="11" customFormat="false" ht="15" hidden="false" customHeight="false" outlineLevel="0" collapsed="false">
      <c r="A11" s="12" t="s">
        <v>345</v>
      </c>
      <c r="B11" s="12" t="s">
        <v>43</v>
      </c>
      <c r="C11" s="12" t="s">
        <v>346</v>
      </c>
      <c r="D11" s="12" t="n">
        <v>4023</v>
      </c>
      <c r="E11" s="12" t="s">
        <v>327</v>
      </c>
    </row>
    <row r="12" customFormat="false" ht="15" hidden="false" customHeight="false" outlineLevel="0" collapsed="false">
      <c r="A12" s="12" t="s">
        <v>347</v>
      </c>
      <c r="B12" s="12" t="s">
        <v>43</v>
      </c>
      <c r="C12" s="12" t="s">
        <v>348</v>
      </c>
      <c r="D12" s="12" t="n">
        <v>1399</v>
      </c>
      <c r="E12" s="12" t="s">
        <v>327</v>
      </c>
    </row>
    <row r="13" customFormat="false" ht="15" hidden="false" customHeight="false" outlineLevel="0" collapsed="false">
      <c r="A13" s="12" t="s">
        <v>349</v>
      </c>
      <c r="B13" s="12" t="s">
        <v>43</v>
      </c>
      <c r="C13" s="12" t="s">
        <v>350</v>
      </c>
      <c r="D13" s="12" t="n">
        <v>1096</v>
      </c>
      <c r="E13" s="12" t="s">
        <v>327</v>
      </c>
    </row>
    <row r="14" customFormat="false" ht="15" hidden="false" customHeight="false" outlineLevel="0" collapsed="false">
      <c r="A14" s="12" t="s">
        <v>351</v>
      </c>
      <c r="B14" s="12" t="s">
        <v>43</v>
      </c>
      <c r="C14" s="12" t="s">
        <v>352</v>
      </c>
      <c r="D14" s="12" t="n">
        <v>40</v>
      </c>
      <c r="E14" s="12" t="s">
        <v>327</v>
      </c>
    </row>
    <row r="15" customFormat="false" ht="15" hidden="false" customHeight="false" outlineLevel="0" collapsed="false">
      <c r="A15" s="12" t="s">
        <v>353</v>
      </c>
      <c r="B15" s="12" t="s">
        <v>43</v>
      </c>
      <c r="C15" s="12" t="s">
        <v>354</v>
      </c>
      <c r="D15" s="12" t="n">
        <v>743</v>
      </c>
      <c r="E15" s="12" t="s">
        <v>327</v>
      </c>
    </row>
    <row r="16" customFormat="false" ht="15" hidden="false" customHeight="false" outlineLevel="0" collapsed="false">
      <c r="A16" s="12" t="s">
        <v>355</v>
      </c>
      <c r="B16" s="12" t="s">
        <v>356</v>
      </c>
      <c r="C16" s="12" t="s">
        <v>357</v>
      </c>
      <c r="D16" s="12" t="n">
        <v>396</v>
      </c>
      <c r="E16" s="12" t="s">
        <v>358</v>
      </c>
    </row>
    <row r="17" customFormat="false" ht="15" hidden="false" customHeight="false" outlineLevel="0" collapsed="false">
      <c r="A17" s="12" t="s">
        <v>359</v>
      </c>
      <c r="B17" s="12" t="s">
        <v>43</v>
      </c>
      <c r="C17" s="12" t="s">
        <v>360</v>
      </c>
      <c r="D17" s="12" t="n">
        <v>312</v>
      </c>
      <c r="E17" s="12" t="s">
        <v>327</v>
      </c>
    </row>
    <row r="18" customFormat="false" ht="15" hidden="false" customHeight="false" outlineLevel="0" collapsed="false">
      <c r="A18" s="12" t="s">
        <v>361</v>
      </c>
      <c r="B18" s="12" t="s">
        <v>43</v>
      </c>
      <c r="C18" s="12" t="s">
        <v>362</v>
      </c>
      <c r="D18" s="12" t="n">
        <v>1036</v>
      </c>
      <c r="E18" s="12" t="s">
        <v>327</v>
      </c>
    </row>
    <row r="19" customFormat="false" ht="15" hidden="false" customHeight="false" outlineLevel="0" collapsed="false">
      <c r="A19" s="12" t="s">
        <v>363</v>
      </c>
      <c r="B19" s="12" t="s">
        <v>43</v>
      </c>
      <c r="C19" s="12" t="s">
        <v>364</v>
      </c>
      <c r="D19" s="12" t="n">
        <v>1539</v>
      </c>
      <c r="E19" s="12" t="s">
        <v>327</v>
      </c>
    </row>
    <row r="20" customFormat="false" ht="15" hidden="false" customHeight="false" outlineLevel="0" collapsed="false">
      <c r="A20" s="12" t="s">
        <v>365</v>
      </c>
      <c r="B20" s="12" t="s">
        <v>366</v>
      </c>
      <c r="C20" s="12" t="s">
        <v>367</v>
      </c>
      <c r="D20" s="12" t="n">
        <v>362</v>
      </c>
      <c r="E20" s="12" t="s">
        <v>358</v>
      </c>
    </row>
    <row r="21" customFormat="false" ht="15" hidden="false" customHeight="false" outlineLevel="0" collapsed="false">
      <c r="A21" s="12" t="s">
        <v>368</v>
      </c>
      <c r="B21" s="12" t="s">
        <v>369</v>
      </c>
      <c r="C21" s="12" t="s">
        <v>370</v>
      </c>
      <c r="D21" s="12" t="n">
        <v>75</v>
      </c>
      <c r="E21" s="12" t="s">
        <v>358</v>
      </c>
    </row>
    <row r="22" customFormat="false" ht="15" hidden="false" customHeight="false" outlineLevel="0" collapsed="false">
      <c r="A22" s="12" t="s">
        <v>371</v>
      </c>
      <c r="B22" s="12" t="s">
        <v>43</v>
      </c>
      <c r="C22" s="12" t="s">
        <v>372</v>
      </c>
      <c r="D22" s="12" t="n">
        <v>2516</v>
      </c>
      <c r="E22" s="12" t="s">
        <v>327</v>
      </c>
    </row>
    <row r="23" customFormat="false" ht="15" hidden="false" customHeight="false" outlineLevel="0" collapsed="false">
      <c r="A23" s="12" t="s">
        <v>373</v>
      </c>
      <c r="B23" s="12" t="s">
        <v>43</v>
      </c>
      <c r="C23" s="12" t="s">
        <v>374</v>
      </c>
      <c r="D23" s="12" t="n">
        <v>910</v>
      </c>
      <c r="E23" s="12" t="s">
        <v>327</v>
      </c>
    </row>
    <row r="24" customFormat="false" ht="15" hidden="false" customHeight="false" outlineLevel="0" collapsed="false">
      <c r="A24" s="12" t="s">
        <v>375</v>
      </c>
      <c r="B24" s="12" t="s">
        <v>43</v>
      </c>
      <c r="C24" s="12" t="s">
        <v>376</v>
      </c>
      <c r="D24" s="12" t="n">
        <v>3781</v>
      </c>
      <c r="E24" s="12" t="s">
        <v>327</v>
      </c>
    </row>
    <row r="25" customFormat="false" ht="15" hidden="false" customHeight="false" outlineLevel="0" collapsed="false">
      <c r="A25" s="12" t="s">
        <v>377</v>
      </c>
      <c r="B25" s="12" t="s">
        <v>43</v>
      </c>
      <c r="C25" s="12" t="s">
        <v>378</v>
      </c>
      <c r="D25" s="12" t="n">
        <v>4800</v>
      </c>
      <c r="E25" s="12" t="s">
        <v>327</v>
      </c>
    </row>
    <row r="26" customFormat="false" ht="15" hidden="false" customHeight="false" outlineLevel="0" collapsed="false">
      <c r="A26" s="12" t="s">
        <v>379</v>
      </c>
      <c r="B26" s="12" t="s">
        <v>43</v>
      </c>
      <c r="C26" s="12" t="s">
        <v>380</v>
      </c>
      <c r="D26" s="12" t="n">
        <v>1345</v>
      </c>
      <c r="E26" s="12" t="s">
        <v>327</v>
      </c>
    </row>
    <row r="27" customFormat="false" ht="15" hidden="false" customHeight="false" outlineLevel="0" collapsed="false">
      <c r="A27" s="12" t="s">
        <v>381</v>
      </c>
      <c r="B27" s="12" t="s">
        <v>43</v>
      </c>
      <c r="C27" s="12" t="s">
        <v>382</v>
      </c>
      <c r="D27" s="12" t="n">
        <v>2178</v>
      </c>
      <c r="E27" s="12" t="s">
        <v>327</v>
      </c>
    </row>
    <row r="28" customFormat="false" ht="15" hidden="false" customHeight="false" outlineLevel="0" collapsed="false">
      <c r="A28" s="12" t="s">
        <v>383</v>
      </c>
      <c r="B28" s="12" t="s">
        <v>43</v>
      </c>
      <c r="C28" s="12" t="s">
        <v>384</v>
      </c>
      <c r="D28" s="12" t="n">
        <v>1567</v>
      </c>
      <c r="E28" s="12" t="s">
        <v>327</v>
      </c>
    </row>
    <row r="29" customFormat="false" ht="15" hidden="false" customHeight="false" outlineLevel="0" collapsed="false">
      <c r="A29" s="12" t="s">
        <v>385</v>
      </c>
      <c r="B29" s="12" t="s">
        <v>43</v>
      </c>
      <c r="C29" s="12" t="s">
        <v>386</v>
      </c>
      <c r="D29" s="12" t="n">
        <v>1022</v>
      </c>
      <c r="E29" s="12" t="s">
        <v>327</v>
      </c>
    </row>
    <row r="30" customFormat="false" ht="15" hidden="false" customHeight="false" outlineLevel="0" collapsed="false">
      <c r="A30" s="12" t="s">
        <v>387</v>
      </c>
      <c r="B30" s="12" t="s">
        <v>43</v>
      </c>
      <c r="C30" s="12" t="s">
        <v>388</v>
      </c>
      <c r="D30" s="12" t="n">
        <v>1320</v>
      </c>
      <c r="E30" s="12" t="s">
        <v>327</v>
      </c>
    </row>
    <row r="31" customFormat="false" ht="15" hidden="false" customHeight="false" outlineLevel="0" collapsed="false">
      <c r="A31" s="12" t="s">
        <v>389</v>
      </c>
      <c r="B31" s="12" t="s">
        <v>390</v>
      </c>
      <c r="C31" s="12" t="s">
        <v>391</v>
      </c>
      <c r="D31" s="12" t="n">
        <v>151</v>
      </c>
      <c r="E31" s="12" t="s">
        <v>358</v>
      </c>
    </row>
    <row r="32" customFormat="false" ht="15" hidden="false" customHeight="false" outlineLevel="0" collapsed="false">
      <c r="A32" s="12" t="s">
        <v>392</v>
      </c>
      <c r="B32" s="12" t="s">
        <v>393</v>
      </c>
      <c r="C32" s="12" t="s">
        <v>394</v>
      </c>
      <c r="D32" s="12" t="n">
        <v>214</v>
      </c>
      <c r="E32" s="12" t="s">
        <v>358</v>
      </c>
    </row>
    <row r="33" customFormat="false" ht="15" hidden="false" customHeight="false" outlineLevel="0" collapsed="false">
      <c r="A33" s="12" t="s">
        <v>395</v>
      </c>
      <c r="B33" s="12" t="s">
        <v>390</v>
      </c>
      <c r="C33" s="12"/>
      <c r="D33" s="12" t="n">
        <v>73</v>
      </c>
      <c r="E33" s="12" t="s">
        <v>358</v>
      </c>
    </row>
    <row r="34" customFormat="false" ht="15" hidden="false" customHeight="false" outlineLevel="0" collapsed="false">
      <c r="A34" s="12" t="s">
        <v>396</v>
      </c>
      <c r="B34" s="12" t="s">
        <v>397</v>
      </c>
      <c r="C34" s="12" t="s">
        <v>398</v>
      </c>
      <c r="D34" s="12" t="n">
        <v>221</v>
      </c>
      <c r="E34" s="12" t="s">
        <v>358</v>
      </c>
    </row>
    <row r="35" customFormat="false" ht="15" hidden="false" customHeight="false" outlineLevel="0" collapsed="false">
      <c r="A35" s="12" t="s">
        <v>399</v>
      </c>
      <c r="B35" s="12" t="s">
        <v>400</v>
      </c>
      <c r="C35" s="12" t="s">
        <v>401</v>
      </c>
      <c r="D35" s="12" t="n">
        <v>12</v>
      </c>
      <c r="E35" s="12" t="s">
        <v>358</v>
      </c>
    </row>
    <row r="36" customFormat="false" ht="15" hidden="false" customHeight="false" outlineLevel="0" collapsed="false">
      <c r="A36" s="12" t="s">
        <v>402</v>
      </c>
      <c r="B36" s="12" t="s">
        <v>397</v>
      </c>
      <c r="C36" s="12" t="s">
        <v>403</v>
      </c>
      <c r="D36" s="12" t="n">
        <v>266</v>
      </c>
      <c r="E36" s="12" t="s">
        <v>358</v>
      </c>
    </row>
    <row r="37" customFormat="false" ht="15" hidden="false" customHeight="false" outlineLevel="0" collapsed="false">
      <c r="A37" s="12" t="s">
        <v>404</v>
      </c>
      <c r="B37" s="12" t="s">
        <v>356</v>
      </c>
      <c r="C37" s="12" t="s">
        <v>405</v>
      </c>
      <c r="D37" s="12" t="n">
        <v>41</v>
      </c>
      <c r="E37" s="12" t="s">
        <v>358</v>
      </c>
    </row>
    <row r="38" customFormat="false" ht="15" hidden="false" customHeight="false" outlineLevel="0" collapsed="false">
      <c r="A38" s="12" t="s">
        <v>406</v>
      </c>
      <c r="B38" s="12" t="s">
        <v>407</v>
      </c>
      <c r="C38" s="12" t="s">
        <v>408</v>
      </c>
      <c r="D38" s="12" t="n">
        <v>8</v>
      </c>
      <c r="E38" s="12" t="s">
        <v>358</v>
      </c>
    </row>
    <row r="39" customFormat="false" ht="15" hidden="false" customHeight="false" outlineLevel="0" collapsed="false">
      <c r="A39" s="12" t="s">
        <v>409</v>
      </c>
      <c r="B39" s="12" t="s">
        <v>410</v>
      </c>
      <c r="C39" s="12" t="s">
        <v>411</v>
      </c>
      <c r="D39" s="12" t="n">
        <v>62</v>
      </c>
      <c r="E39" s="12" t="s">
        <v>358</v>
      </c>
    </row>
    <row r="40" customFormat="false" ht="15" hidden="false" customHeight="false" outlineLevel="0" collapsed="false">
      <c r="A40" s="12" t="s">
        <v>412</v>
      </c>
      <c r="B40" s="12" t="s">
        <v>43</v>
      </c>
      <c r="C40" s="12" t="s">
        <v>413</v>
      </c>
      <c r="D40" s="12" t="n">
        <v>1835</v>
      </c>
      <c r="E40" s="12" t="s">
        <v>327</v>
      </c>
    </row>
    <row r="41" customFormat="false" ht="15" hidden="false" customHeight="false" outlineLevel="0" collapsed="false">
      <c r="A41" s="12" t="s">
        <v>414</v>
      </c>
      <c r="B41" s="12" t="s">
        <v>43</v>
      </c>
      <c r="C41" s="12" t="s">
        <v>415</v>
      </c>
      <c r="D41" s="12" t="n">
        <v>2013</v>
      </c>
      <c r="E41" s="12" t="s">
        <v>327</v>
      </c>
    </row>
    <row r="42" customFormat="false" ht="15" hidden="false" customHeight="false" outlineLevel="0" collapsed="false">
      <c r="A42" s="12" t="s">
        <v>416</v>
      </c>
      <c r="B42" s="12" t="s">
        <v>43</v>
      </c>
      <c r="C42" s="12" t="s">
        <v>417</v>
      </c>
      <c r="D42" s="12" t="n">
        <v>3003</v>
      </c>
      <c r="E42" s="12" t="s">
        <v>327</v>
      </c>
    </row>
    <row r="43" customFormat="false" ht="15" hidden="false" customHeight="false" outlineLevel="0" collapsed="false">
      <c r="A43" s="12" t="s">
        <v>418</v>
      </c>
      <c r="B43" s="12" t="s">
        <v>43</v>
      </c>
      <c r="C43" s="12" t="s">
        <v>419</v>
      </c>
      <c r="D43" s="12" t="n">
        <v>1366</v>
      </c>
      <c r="E43" s="12" t="s">
        <v>327</v>
      </c>
    </row>
    <row r="44" customFormat="false" ht="15" hidden="false" customHeight="false" outlineLevel="0" collapsed="false">
      <c r="A44" s="12" t="s">
        <v>420</v>
      </c>
      <c r="B44" s="12" t="s">
        <v>43</v>
      </c>
      <c r="C44" s="12" t="s">
        <v>421</v>
      </c>
      <c r="D44" s="12" t="n">
        <v>585</v>
      </c>
      <c r="E44" s="12" t="s">
        <v>327</v>
      </c>
    </row>
    <row r="45" customFormat="false" ht="15" hidden="false" customHeight="false" outlineLevel="0" collapsed="false">
      <c r="A45" s="12" t="s">
        <v>422</v>
      </c>
      <c r="B45" s="12" t="s">
        <v>43</v>
      </c>
      <c r="C45" s="12" t="s">
        <v>423</v>
      </c>
      <c r="D45" s="12" t="n">
        <v>2019</v>
      </c>
      <c r="E45" s="12" t="s">
        <v>327</v>
      </c>
    </row>
    <row r="46" customFormat="false" ht="15" hidden="false" customHeight="false" outlineLevel="0" collapsed="false">
      <c r="A46" s="12" t="s">
        <v>424</v>
      </c>
      <c r="B46" s="12" t="s">
        <v>43</v>
      </c>
      <c r="C46" s="12" t="s">
        <v>425</v>
      </c>
      <c r="D46" s="12" t="n">
        <v>732</v>
      </c>
      <c r="E46" s="12" t="s">
        <v>327</v>
      </c>
    </row>
    <row r="47" customFormat="false" ht="15" hidden="false" customHeight="false" outlineLevel="0" collapsed="false">
      <c r="A47" s="12" t="s">
        <v>426</v>
      </c>
      <c r="B47" s="12" t="s">
        <v>43</v>
      </c>
      <c r="C47" s="12" t="s">
        <v>427</v>
      </c>
      <c r="D47" s="12" t="n">
        <v>1478</v>
      </c>
      <c r="E47" s="12" t="s">
        <v>327</v>
      </c>
    </row>
    <row r="48" customFormat="false" ht="15" hidden="false" customHeight="false" outlineLevel="0" collapsed="false">
      <c r="A48" s="12" t="s">
        <v>428</v>
      </c>
      <c r="B48" s="12" t="s">
        <v>43</v>
      </c>
      <c r="C48" s="12" t="s">
        <v>429</v>
      </c>
      <c r="D48" s="12" t="n">
        <v>2641</v>
      </c>
      <c r="E48" s="12" t="s">
        <v>327</v>
      </c>
    </row>
    <row r="49" customFormat="false" ht="15" hidden="false" customHeight="false" outlineLevel="0" collapsed="false">
      <c r="A49" s="12" t="s">
        <v>430</v>
      </c>
      <c r="B49" s="12" t="s">
        <v>43</v>
      </c>
      <c r="C49" s="12" t="s">
        <v>431</v>
      </c>
      <c r="D49" s="12" t="n">
        <v>1645</v>
      </c>
      <c r="E49" s="12" t="s">
        <v>327</v>
      </c>
    </row>
    <row r="50" customFormat="false" ht="15" hidden="false" customHeight="false" outlineLevel="0" collapsed="false">
      <c r="A50" s="12" t="s">
        <v>432</v>
      </c>
      <c r="B50" s="12" t="s">
        <v>369</v>
      </c>
      <c r="C50" s="12" t="s">
        <v>433</v>
      </c>
      <c r="D50" s="12" t="n">
        <v>92</v>
      </c>
      <c r="E50" s="12" t="s">
        <v>358</v>
      </c>
    </row>
    <row r="51" customFormat="false" ht="15" hidden="false" customHeight="false" outlineLevel="0" collapsed="false">
      <c r="A51" s="12" t="s">
        <v>434</v>
      </c>
      <c r="B51" s="12" t="s">
        <v>435</v>
      </c>
      <c r="C51" s="12" t="s">
        <v>436</v>
      </c>
      <c r="D51" s="12" t="n">
        <v>633</v>
      </c>
      <c r="E51" s="12" t="s">
        <v>358</v>
      </c>
    </row>
    <row r="52" customFormat="false" ht="15" hidden="false" customHeight="false" outlineLevel="0" collapsed="false">
      <c r="A52" s="12" t="s">
        <v>437</v>
      </c>
      <c r="B52" s="12" t="s">
        <v>438</v>
      </c>
      <c r="C52" s="12" t="s">
        <v>439</v>
      </c>
      <c r="D52" s="12" t="n">
        <v>12</v>
      </c>
      <c r="E52" s="12" t="s">
        <v>358</v>
      </c>
    </row>
    <row r="53" customFormat="false" ht="15" hidden="false" customHeight="false" outlineLevel="0" collapsed="false">
      <c r="A53" s="12" t="s">
        <v>440</v>
      </c>
      <c r="B53" s="12" t="s">
        <v>43</v>
      </c>
      <c r="C53" s="12" t="s">
        <v>441</v>
      </c>
      <c r="D53" s="12" t="n">
        <v>1503</v>
      </c>
      <c r="E53" s="12" t="s">
        <v>327</v>
      </c>
    </row>
    <row r="54" customFormat="false" ht="15" hidden="false" customHeight="false" outlineLevel="0" collapsed="false">
      <c r="A54" s="12" t="s">
        <v>442</v>
      </c>
      <c r="B54" s="12" t="s">
        <v>43</v>
      </c>
      <c r="C54" s="12" t="s">
        <v>443</v>
      </c>
      <c r="D54" s="12" t="n">
        <v>1237</v>
      </c>
      <c r="E54" s="12" t="s">
        <v>327</v>
      </c>
    </row>
    <row r="55" customFormat="false" ht="15" hidden="false" customHeight="false" outlineLevel="0" collapsed="false">
      <c r="A55" s="12" t="s">
        <v>444</v>
      </c>
      <c r="B55" s="12" t="s">
        <v>43</v>
      </c>
      <c r="C55" s="12" t="s">
        <v>445</v>
      </c>
      <c r="D55" s="12" t="n">
        <v>2771</v>
      </c>
      <c r="E55" s="12" t="s">
        <v>327</v>
      </c>
    </row>
    <row r="56" customFormat="false" ht="15" hidden="false" customHeight="false" outlineLevel="0" collapsed="false">
      <c r="A56" s="12" t="s">
        <v>446</v>
      </c>
      <c r="B56" s="12" t="s">
        <v>43</v>
      </c>
      <c r="C56" s="12" t="s">
        <v>447</v>
      </c>
      <c r="D56" s="12" t="n">
        <v>2118</v>
      </c>
      <c r="E56" s="12" t="s">
        <v>327</v>
      </c>
    </row>
    <row r="57" customFormat="false" ht="15" hidden="false" customHeight="false" outlineLevel="0" collapsed="false">
      <c r="A57" s="12" t="s">
        <v>448</v>
      </c>
      <c r="B57" s="12" t="s">
        <v>43</v>
      </c>
      <c r="C57" s="12" t="s">
        <v>449</v>
      </c>
      <c r="D57" s="12" t="n">
        <v>701</v>
      </c>
      <c r="E57" s="12" t="s">
        <v>327</v>
      </c>
    </row>
    <row r="58" customFormat="false" ht="15" hidden="false" customHeight="false" outlineLevel="0" collapsed="false">
      <c r="A58" s="12" t="s">
        <v>450</v>
      </c>
      <c r="B58" s="12" t="s">
        <v>43</v>
      </c>
      <c r="C58" s="12" t="s">
        <v>451</v>
      </c>
      <c r="D58" s="12" t="n">
        <v>2646</v>
      </c>
      <c r="E58" s="12" t="s">
        <v>327</v>
      </c>
    </row>
    <row r="59" customFormat="false" ht="15" hidden="false" customHeight="false" outlineLevel="0" collapsed="false">
      <c r="A59" s="12" t="s">
        <v>452</v>
      </c>
      <c r="B59" s="12" t="s">
        <v>43</v>
      </c>
      <c r="C59" s="12" t="s">
        <v>453</v>
      </c>
      <c r="D59" s="12" t="n">
        <v>357</v>
      </c>
      <c r="E59" s="12" t="s">
        <v>327</v>
      </c>
    </row>
    <row r="60" customFormat="false" ht="15" hidden="false" customHeight="false" outlineLevel="0" collapsed="false">
      <c r="A60" s="12" t="s">
        <v>454</v>
      </c>
      <c r="B60" s="12" t="s">
        <v>33</v>
      </c>
      <c r="C60" s="12" t="s">
        <v>455</v>
      </c>
      <c r="D60" s="12" t="n">
        <v>1502</v>
      </c>
      <c r="E60" s="12" t="s">
        <v>327</v>
      </c>
    </row>
    <row r="61" customFormat="false" ht="15" hidden="false" customHeight="false" outlineLevel="0" collapsed="false">
      <c r="A61" s="12" t="s">
        <v>456</v>
      </c>
      <c r="B61" s="12" t="s">
        <v>43</v>
      </c>
      <c r="C61" s="12" t="s">
        <v>457</v>
      </c>
      <c r="D61" s="12" t="n">
        <v>1710</v>
      </c>
      <c r="E61" s="12" t="s">
        <v>327</v>
      </c>
    </row>
    <row r="62" customFormat="false" ht="15" hidden="false" customHeight="false" outlineLevel="0" collapsed="false">
      <c r="A62" s="12" t="s">
        <v>458</v>
      </c>
      <c r="B62" s="12" t="s">
        <v>43</v>
      </c>
      <c r="C62" s="12" t="s">
        <v>459</v>
      </c>
      <c r="D62" s="12" t="n">
        <v>925</v>
      </c>
      <c r="E62" s="12" t="s">
        <v>327</v>
      </c>
    </row>
    <row r="63" customFormat="false" ht="15" hidden="false" customHeight="false" outlineLevel="0" collapsed="false">
      <c r="A63" s="12" t="s">
        <v>460</v>
      </c>
      <c r="B63" s="12" t="s">
        <v>43</v>
      </c>
      <c r="C63" s="12" t="s">
        <v>461</v>
      </c>
      <c r="D63" s="12" t="n">
        <v>687</v>
      </c>
      <c r="E63" s="12" t="s">
        <v>327</v>
      </c>
    </row>
    <row r="64" customFormat="false" ht="15" hidden="false" customHeight="false" outlineLevel="0" collapsed="false">
      <c r="A64" s="12" t="s">
        <v>462</v>
      </c>
      <c r="B64" s="12" t="s">
        <v>33</v>
      </c>
      <c r="C64" s="12" t="s">
        <v>463</v>
      </c>
      <c r="D64" s="12" t="n">
        <v>1188</v>
      </c>
      <c r="E64" s="12" t="s">
        <v>327</v>
      </c>
    </row>
    <row r="65" customFormat="false" ht="15" hidden="false" customHeight="false" outlineLevel="0" collapsed="false">
      <c r="A65" s="12" t="s">
        <v>464</v>
      </c>
      <c r="B65" s="12" t="s">
        <v>43</v>
      </c>
      <c r="C65" s="12" t="s">
        <v>465</v>
      </c>
      <c r="D65" s="12" t="n">
        <v>202</v>
      </c>
      <c r="E65" s="12" t="s">
        <v>327</v>
      </c>
    </row>
    <row r="66" customFormat="false" ht="15" hidden="false" customHeight="false" outlineLevel="0" collapsed="false">
      <c r="A66" s="12" t="s">
        <v>466</v>
      </c>
      <c r="B66" s="12" t="s">
        <v>43</v>
      </c>
      <c r="C66" s="12" t="s">
        <v>467</v>
      </c>
      <c r="D66" s="12" t="n">
        <v>931</v>
      </c>
      <c r="E66" s="12" t="s">
        <v>327</v>
      </c>
    </row>
    <row r="67" customFormat="false" ht="15" hidden="false" customHeight="false" outlineLevel="0" collapsed="false">
      <c r="A67" s="12" t="s">
        <v>468</v>
      </c>
      <c r="B67" s="12" t="s">
        <v>43</v>
      </c>
      <c r="C67" s="12" t="s">
        <v>469</v>
      </c>
      <c r="D67" s="12" t="n">
        <v>1233</v>
      </c>
      <c r="E67" s="12" t="s">
        <v>327</v>
      </c>
    </row>
    <row r="68" customFormat="false" ht="15" hidden="false" customHeight="false" outlineLevel="0" collapsed="false">
      <c r="A68" s="12" t="s">
        <v>470</v>
      </c>
      <c r="B68" s="12" t="s">
        <v>43</v>
      </c>
      <c r="C68" s="12" t="s">
        <v>471</v>
      </c>
      <c r="D68" s="12" t="n">
        <v>1115</v>
      </c>
      <c r="E68" s="12" t="s">
        <v>327</v>
      </c>
    </row>
    <row r="69" customFormat="false" ht="15" hidden="false" customHeight="false" outlineLevel="0" collapsed="false">
      <c r="A69" s="12" t="s">
        <v>472</v>
      </c>
      <c r="B69" s="12" t="s">
        <v>43</v>
      </c>
      <c r="C69" s="12" t="s">
        <v>473</v>
      </c>
      <c r="D69" s="12" t="n">
        <v>497</v>
      </c>
      <c r="E69" s="12" t="s">
        <v>327</v>
      </c>
    </row>
    <row r="70" customFormat="false" ht="15" hidden="false" customHeight="false" outlineLevel="0" collapsed="false">
      <c r="A70" s="12" t="s">
        <v>474</v>
      </c>
      <c r="B70" s="12" t="s">
        <v>43</v>
      </c>
      <c r="C70" s="12" t="s">
        <v>475</v>
      </c>
      <c r="D70" s="12" t="n">
        <v>883</v>
      </c>
      <c r="E70" s="12" t="s">
        <v>327</v>
      </c>
    </row>
    <row r="71" customFormat="false" ht="15" hidden="false" customHeight="false" outlineLevel="0" collapsed="false">
      <c r="A71" s="12" t="s">
        <v>476</v>
      </c>
      <c r="B71" s="12" t="s">
        <v>43</v>
      </c>
      <c r="C71" s="12" t="s">
        <v>477</v>
      </c>
      <c r="D71" s="12" t="n">
        <v>407</v>
      </c>
      <c r="E71" s="12" t="s">
        <v>327</v>
      </c>
    </row>
    <row r="72" customFormat="false" ht="15" hidden="false" customHeight="false" outlineLevel="0" collapsed="false">
      <c r="A72" s="12" t="s">
        <v>478</v>
      </c>
      <c r="B72" s="12" t="s">
        <v>43</v>
      </c>
      <c r="C72" s="12" t="s">
        <v>479</v>
      </c>
      <c r="D72" s="12" t="n">
        <v>908</v>
      </c>
      <c r="E72" s="12" t="s">
        <v>327</v>
      </c>
    </row>
    <row r="73" customFormat="false" ht="15" hidden="false" customHeight="false" outlineLevel="0" collapsed="false">
      <c r="A73" s="12" t="s">
        <v>480</v>
      </c>
      <c r="B73" s="12" t="s">
        <v>33</v>
      </c>
      <c r="C73" s="12" t="s">
        <v>481</v>
      </c>
      <c r="D73" s="12" t="n">
        <v>1215</v>
      </c>
      <c r="E73" s="12" t="s">
        <v>327</v>
      </c>
    </row>
    <row r="74" customFormat="false" ht="15" hidden="false" customHeight="false" outlineLevel="0" collapsed="false">
      <c r="A74" s="12" t="s">
        <v>482</v>
      </c>
      <c r="B74" s="12" t="s">
        <v>43</v>
      </c>
      <c r="C74" s="12" t="s">
        <v>483</v>
      </c>
      <c r="D74" s="12" t="n">
        <v>797</v>
      </c>
      <c r="E74" s="12" t="s">
        <v>327</v>
      </c>
    </row>
    <row r="75" customFormat="false" ht="15" hidden="false" customHeight="false" outlineLevel="0" collapsed="false">
      <c r="A75" s="12" t="s">
        <v>484</v>
      </c>
      <c r="B75" s="12" t="s">
        <v>43</v>
      </c>
      <c r="C75" s="12" t="s">
        <v>485</v>
      </c>
      <c r="D75" s="12" t="n">
        <v>949</v>
      </c>
      <c r="E75" s="12" t="s">
        <v>327</v>
      </c>
    </row>
    <row r="76" customFormat="false" ht="15" hidden="false" customHeight="false" outlineLevel="0" collapsed="false">
      <c r="A76" s="12" t="s">
        <v>486</v>
      </c>
      <c r="B76" s="12" t="s">
        <v>43</v>
      </c>
      <c r="C76" s="12" t="s">
        <v>487</v>
      </c>
      <c r="D76" s="12" t="n">
        <v>1083</v>
      </c>
      <c r="E76" s="12" t="s">
        <v>327</v>
      </c>
    </row>
    <row r="77" customFormat="false" ht="15" hidden="false" customHeight="false" outlineLevel="0" collapsed="false">
      <c r="A77" s="12" t="s">
        <v>488</v>
      </c>
      <c r="B77" s="12" t="s">
        <v>43</v>
      </c>
      <c r="C77" s="12" t="s">
        <v>489</v>
      </c>
      <c r="D77" s="12" t="n">
        <v>904</v>
      </c>
      <c r="E77" s="12" t="s">
        <v>327</v>
      </c>
    </row>
    <row r="78" customFormat="false" ht="15" hidden="false" customHeight="false" outlineLevel="0" collapsed="false">
      <c r="A78" s="12" t="s">
        <v>490</v>
      </c>
      <c r="B78" s="12" t="s">
        <v>43</v>
      </c>
      <c r="C78" s="12"/>
      <c r="D78" s="12" t="n">
        <v>1</v>
      </c>
      <c r="E78" s="12" t="s">
        <v>339</v>
      </c>
    </row>
    <row r="79" customFormat="false" ht="15" hidden="false" customHeight="false" outlineLevel="0" collapsed="false">
      <c r="A79" s="12" t="s">
        <v>157</v>
      </c>
      <c r="B79" s="12" t="s">
        <v>43</v>
      </c>
      <c r="C79" s="12"/>
      <c r="D79" s="12"/>
      <c r="E79" s="12" t="s">
        <v>339</v>
      </c>
    </row>
    <row r="80" customFormat="false" ht="15" hidden="false" customHeight="false" outlineLevel="0" collapsed="false">
      <c r="A80" s="12" t="s">
        <v>491</v>
      </c>
      <c r="B80" s="12" t="s">
        <v>43</v>
      </c>
      <c r="C80" s="12" t="s">
        <v>492</v>
      </c>
      <c r="D80" s="12" t="n">
        <v>5</v>
      </c>
      <c r="E80" s="12" t="s">
        <v>493</v>
      </c>
    </row>
    <row r="81" customFormat="false" ht="15" hidden="false" customHeight="false" outlineLevel="0" collapsed="false">
      <c r="A81" s="12" t="s">
        <v>494</v>
      </c>
      <c r="B81" s="12" t="s">
        <v>43</v>
      </c>
      <c r="C81" s="12"/>
      <c r="D81" s="12"/>
      <c r="E81" s="12" t="s">
        <v>339</v>
      </c>
    </row>
    <row r="82" customFormat="false" ht="15" hidden="false" customHeight="false" outlineLevel="0" collapsed="false">
      <c r="A82" s="12" t="s">
        <v>495</v>
      </c>
      <c r="B82" s="12" t="s">
        <v>33</v>
      </c>
      <c r="C82" s="12"/>
      <c r="D82" s="12"/>
      <c r="E82" s="12" t="s">
        <v>339</v>
      </c>
    </row>
    <row r="83" customFormat="false" ht="15" hidden="false" customHeight="false" outlineLevel="0" collapsed="false">
      <c r="A83" s="12" t="s">
        <v>496</v>
      </c>
      <c r="B83" s="12" t="s">
        <v>43</v>
      </c>
      <c r="C83" s="12"/>
      <c r="D83" s="12"/>
      <c r="E83" s="12" t="s">
        <v>339</v>
      </c>
    </row>
    <row r="84" customFormat="false" ht="15" hidden="false" customHeight="false" outlineLevel="0" collapsed="false">
      <c r="A84" s="12" t="s">
        <v>497</v>
      </c>
      <c r="B84" s="12" t="s">
        <v>43</v>
      </c>
      <c r="C84" s="12"/>
      <c r="D84" s="12"/>
      <c r="E84" s="12" t="s">
        <v>339</v>
      </c>
    </row>
    <row r="85" customFormat="false" ht="15" hidden="false" customHeight="false" outlineLevel="0" collapsed="false">
      <c r="A85" s="12" t="s">
        <v>498</v>
      </c>
      <c r="B85" s="12" t="s">
        <v>43</v>
      </c>
      <c r="C85" s="12" t="s">
        <v>499</v>
      </c>
      <c r="D85" s="12" t="n">
        <v>940</v>
      </c>
      <c r="E85" s="12" t="s">
        <v>327</v>
      </c>
    </row>
    <row r="86" customFormat="false" ht="15" hidden="false" customHeight="false" outlineLevel="0" collapsed="false">
      <c r="A86" s="12" t="s">
        <v>500</v>
      </c>
      <c r="B86" s="12" t="s">
        <v>43</v>
      </c>
      <c r="C86" s="12" t="s">
        <v>501</v>
      </c>
      <c r="D86" s="12" t="n">
        <v>2414</v>
      </c>
      <c r="E86" s="12" t="s">
        <v>327</v>
      </c>
    </row>
    <row r="87" customFormat="false" ht="15" hidden="false" customHeight="false" outlineLevel="0" collapsed="false">
      <c r="A87" s="12" t="s">
        <v>502</v>
      </c>
      <c r="B87" s="12" t="s">
        <v>43</v>
      </c>
      <c r="C87" s="12" t="s">
        <v>503</v>
      </c>
      <c r="D87" s="12" t="n">
        <v>1045</v>
      </c>
      <c r="E87" s="12" t="s">
        <v>327</v>
      </c>
    </row>
    <row r="88" customFormat="false" ht="15" hidden="false" customHeight="false" outlineLevel="0" collapsed="false">
      <c r="A88" s="12" t="s">
        <v>504</v>
      </c>
      <c r="B88" s="12" t="s">
        <v>43</v>
      </c>
      <c r="C88" s="12" t="s">
        <v>505</v>
      </c>
      <c r="D88" s="12" t="n">
        <v>1065</v>
      </c>
      <c r="E88" s="12" t="s">
        <v>327</v>
      </c>
    </row>
    <row r="89" customFormat="false" ht="15" hidden="false" customHeight="false" outlineLevel="0" collapsed="false">
      <c r="A89" s="12" t="s">
        <v>506</v>
      </c>
      <c r="B89" s="12" t="s">
        <v>43</v>
      </c>
      <c r="C89" s="12" t="s">
        <v>507</v>
      </c>
      <c r="D89" s="12" t="n">
        <v>2674</v>
      </c>
      <c r="E89" s="12" t="s">
        <v>327</v>
      </c>
    </row>
    <row r="90" customFormat="false" ht="15" hidden="false" customHeight="false" outlineLevel="0" collapsed="false">
      <c r="A90" s="12" t="s">
        <v>508</v>
      </c>
      <c r="B90" s="12" t="s">
        <v>43</v>
      </c>
      <c r="C90" s="12" t="s">
        <v>509</v>
      </c>
      <c r="D90" s="12" t="n">
        <v>2245</v>
      </c>
      <c r="E90" s="12" t="s">
        <v>327</v>
      </c>
    </row>
    <row r="91" customFormat="false" ht="15" hidden="false" customHeight="false" outlineLevel="0" collapsed="false">
      <c r="A91" s="12" t="s">
        <v>510</v>
      </c>
      <c r="B91" s="12" t="s">
        <v>390</v>
      </c>
      <c r="C91" s="12" t="s">
        <v>511</v>
      </c>
      <c r="D91" s="12" t="n">
        <v>10</v>
      </c>
      <c r="E91" s="12" t="s">
        <v>358</v>
      </c>
    </row>
    <row r="92" customFormat="false" ht="15" hidden="false" customHeight="false" outlineLevel="0" collapsed="false">
      <c r="A92" s="12" t="s">
        <v>512</v>
      </c>
      <c r="B92" s="12" t="s">
        <v>513</v>
      </c>
      <c r="C92" s="12" t="s">
        <v>514</v>
      </c>
      <c r="D92" s="12" t="n">
        <v>4280</v>
      </c>
      <c r="E92" s="12" t="s">
        <v>327</v>
      </c>
    </row>
    <row r="93" customFormat="false" ht="15" hidden="false" customHeight="false" outlineLevel="0" collapsed="false">
      <c r="A93" s="12" t="s">
        <v>515</v>
      </c>
      <c r="B93" s="12" t="s">
        <v>43</v>
      </c>
      <c r="C93" s="12" t="s">
        <v>516</v>
      </c>
      <c r="D93" s="12" t="n">
        <v>1782</v>
      </c>
      <c r="E93" s="12" t="s">
        <v>327</v>
      </c>
    </row>
    <row r="94" customFormat="false" ht="15" hidden="false" customHeight="false" outlineLevel="0" collapsed="false">
      <c r="A94" s="12" t="s">
        <v>517</v>
      </c>
      <c r="B94" s="12" t="s">
        <v>43</v>
      </c>
      <c r="C94" s="12" t="s">
        <v>518</v>
      </c>
      <c r="D94" s="12" t="n">
        <v>2584</v>
      </c>
      <c r="E94" s="12" t="s">
        <v>327</v>
      </c>
    </row>
    <row r="95" customFormat="false" ht="15" hidden="false" customHeight="false" outlineLevel="0" collapsed="false">
      <c r="A95" s="12" t="s">
        <v>519</v>
      </c>
      <c r="B95" s="12" t="s">
        <v>43</v>
      </c>
      <c r="C95" s="12" t="s">
        <v>520</v>
      </c>
      <c r="D95" s="12" t="n">
        <v>1097</v>
      </c>
      <c r="E95" s="12" t="s">
        <v>327</v>
      </c>
    </row>
    <row r="96" customFormat="false" ht="15" hidden="false" customHeight="false" outlineLevel="0" collapsed="false">
      <c r="A96" s="12" t="s">
        <v>521</v>
      </c>
      <c r="B96" s="12" t="s">
        <v>43</v>
      </c>
      <c r="C96" s="12" t="s">
        <v>522</v>
      </c>
      <c r="D96" s="12" t="n">
        <v>2478</v>
      </c>
      <c r="E96" s="12" t="s">
        <v>327</v>
      </c>
    </row>
    <row r="97" customFormat="false" ht="15" hidden="false" customHeight="false" outlineLevel="0" collapsed="false">
      <c r="A97" s="12" t="s">
        <v>523</v>
      </c>
      <c r="B97" s="12" t="s">
        <v>43</v>
      </c>
      <c r="C97" s="12" t="s">
        <v>524</v>
      </c>
      <c r="D97" s="12" t="n">
        <v>1559</v>
      </c>
      <c r="E97" s="12" t="s">
        <v>327</v>
      </c>
    </row>
    <row r="98" customFormat="false" ht="15" hidden="false" customHeight="false" outlineLevel="0" collapsed="false">
      <c r="A98" s="12" t="s">
        <v>525</v>
      </c>
      <c r="B98" s="12" t="s">
        <v>43</v>
      </c>
      <c r="C98" s="12" t="s">
        <v>526</v>
      </c>
      <c r="D98" s="12" t="n">
        <v>2425</v>
      </c>
      <c r="E98" s="12" t="s">
        <v>327</v>
      </c>
    </row>
    <row r="99" customFormat="false" ht="15" hidden="false" customHeight="false" outlineLevel="0" collapsed="false">
      <c r="A99" s="12" t="s">
        <v>527</v>
      </c>
      <c r="B99" s="12" t="s">
        <v>43</v>
      </c>
      <c r="C99" s="12" t="s">
        <v>528</v>
      </c>
      <c r="D99" s="12" t="n">
        <v>3212</v>
      </c>
      <c r="E99" s="12" t="s">
        <v>327</v>
      </c>
    </row>
    <row r="100" customFormat="false" ht="15" hidden="false" customHeight="false" outlineLevel="0" collapsed="false">
      <c r="A100" s="12" t="s">
        <v>529</v>
      </c>
      <c r="B100" s="12" t="s">
        <v>43</v>
      </c>
      <c r="C100" s="12" t="s">
        <v>530</v>
      </c>
      <c r="D100" s="12" t="n">
        <v>1278</v>
      </c>
      <c r="E100" s="12" t="s">
        <v>327</v>
      </c>
    </row>
    <row r="101" customFormat="false" ht="15" hidden="false" customHeight="false" outlineLevel="0" collapsed="false">
      <c r="A101" s="12" t="s">
        <v>531</v>
      </c>
      <c r="B101" s="12" t="s">
        <v>43</v>
      </c>
      <c r="C101" s="12" t="s">
        <v>532</v>
      </c>
      <c r="D101" s="12" t="n">
        <v>1105</v>
      </c>
      <c r="E101" s="12" t="s">
        <v>327</v>
      </c>
    </row>
    <row r="102" customFormat="false" ht="15" hidden="false" customHeight="false" outlineLevel="0" collapsed="false">
      <c r="A102" s="12" t="s">
        <v>533</v>
      </c>
      <c r="B102" s="12" t="s">
        <v>43</v>
      </c>
      <c r="C102" s="12" t="s">
        <v>534</v>
      </c>
      <c r="D102" s="12" t="n">
        <v>855</v>
      </c>
      <c r="E102" s="12" t="s">
        <v>327</v>
      </c>
    </row>
    <row r="103" customFormat="false" ht="15" hidden="false" customHeight="false" outlineLevel="0" collapsed="false">
      <c r="A103" s="12" t="s">
        <v>535</v>
      </c>
      <c r="B103" s="12" t="s">
        <v>43</v>
      </c>
      <c r="C103" s="12" t="s">
        <v>536</v>
      </c>
      <c r="D103" s="12" t="n">
        <v>132</v>
      </c>
      <c r="E103" s="12" t="s">
        <v>327</v>
      </c>
    </row>
    <row r="104" customFormat="false" ht="15" hidden="false" customHeight="false" outlineLevel="0" collapsed="false">
      <c r="A104" s="12" t="s">
        <v>537</v>
      </c>
      <c r="B104" s="12" t="s">
        <v>538</v>
      </c>
      <c r="C104" s="12" t="s">
        <v>539</v>
      </c>
      <c r="D104" s="12" t="n">
        <v>205</v>
      </c>
      <c r="E104" s="12" t="s">
        <v>358</v>
      </c>
    </row>
    <row r="105" customFormat="false" ht="15" hidden="false" customHeight="false" outlineLevel="0" collapsed="false">
      <c r="A105" s="12" t="s">
        <v>540</v>
      </c>
      <c r="B105" s="12" t="s">
        <v>397</v>
      </c>
      <c r="C105" s="12" t="s">
        <v>541</v>
      </c>
      <c r="D105" s="12" t="n">
        <v>525</v>
      </c>
      <c r="E105" s="12" t="s">
        <v>358</v>
      </c>
    </row>
    <row r="106" customFormat="false" ht="15" hidden="false" customHeight="false" outlineLevel="0" collapsed="false">
      <c r="A106" s="12" t="s">
        <v>542</v>
      </c>
      <c r="B106" s="12" t="s">
        <v>397</v>
      </c>
      <c r="C106" s="12" t="s">
        <v>543</v>
      </c>
      <c r="D106" s="12" t="n">
        <v>251</v>
      </c>
      <c r="E106" s="12" t="s">
        <v>358</v>
      </c>
    </row>
    <row r="107" customFormat="false" ht="15" hidden="false" customHeight="false" outlineLevel="0" collapsed="false">
      <c r="A107" s="12" t="s">
        <v>544</v>
      </c>
      <c r="B107" s="12" t="s">
        <v>400</v>
      </c>
      <c r="C107" s="12" t="s">
        <v>545</v>
      </c>
      <c r="D107" s="12" t="n">
        <v>25</v>
      </c>
      <c r="E107" s="12" t="s">
        <v>358</v>
      </c>
    </row>
    <row r="108" customFormat="false" ht="15" hidden="false" customHeight="false" outlineLevel="0" collapsed="false">
      <c r="A108" s="12" t="s">
        <v>546</v>
      </c>
      <c r="B108" s="12" t="s">
        <v>369</v>
      </c>
      <c r="C108" s="12" t="s">
        <v>547</v>
      </c>
      <c r="D108" s="12" t="n">
        <v>478</v>
      </c>
      <c r="E108" s="12" t="s">
        <v>358</v>
      </c>
    </row>
    <row r="109" customFormat="false" ht="15" hidden="false" customHeight="false" outlineLevel="0" collapsed="false">
      <c r="A109" s="12" t="s">
        <v>548</v>
      </c>
      <c r="B109" s="12" t="s">
        <v>369</v>
      </c>
      <c r="C109" s="12" t="s">
        <v>549</v>
      </c>
      <c r="D109" s="12" t="n">
        <v>379</v>
      </c>
      <c r="E109" s="12" t="s">
        <v>358</v>
      </c>
    </row>
    <row r="110" customFormat="false" ht="15" hidden="false" customHeight="false" outlineLevel="0" collapsed="false">
      <c r="A110" s="12" t="s">
        <v>550</v>
      </c>
      <c r="B110" s="12" t="s">
        <v>369</v>
      </c>
      <c r="C110" s="12" t="s">
        <v>551</v>
      </c>
      <c r="D110" s="12" t="n">
        <v>579</v>
      </c>
      <c r="E110" s="12" t="s">
        <v>358</v>
      </c>
    </row>
    <row r="111" customFormat="false" ht="15" hidden="false" customHeight="false" outlineLevel="0" collapsed="false">
      <c r="A111" s="12" t="s">
        <v>552</v>
      </c>
      <c r="B111" s="12" t="s">
        <v>400</v>
      </c>
      <c r="C111" s="12" t="s">
        <v>553</v>
      </c>
      <c r="D111" s="12" t="n">
        <v>4</v>
      </c>
      <c r="E111" s="12" t="s">
        <v>358</v>
      </c>
    </row>
    <row r="112" customFormat="false" ht="15" hidden="false" customHeight="false" outlineLevel="0" collapsed="false">
      <c r="A112" s="12" t="s">
        <v>554</v>
      </c>
      <c r="B112" s="12" t="s">
        <v>555</v>
      </c>
      <c r="C112" s="12" t="s">
        <v>556</v>
      </c>
      <c r="D112" s="12"/>
      <c r="E112" s="12" t="s">
        <v>339</v>
      </c>
    </row>
    <row r="113" customFormat="false" ht="15" hidden="false" customHeight="false" outlineLevel="0" collapsed="false">
      <c r="A113" s="12" t="s">
        <v>557</v>
      </c>
      <c r="B113" s="12" t="s">
        <v>555</v>
      </c>
      <c r="C113" s="12" t="s">
        <v>558</v>
      </c>
      <c r="D113" s="12"/>
      <c r="E113" s="12" t="s">
        <v>339</v>
      </c>
    </row>
    <row r="114" customFormat="false" ht="15" hidden="false" customHeight="false" outlineLevel="0" collapsed="false">
      <c r="A114" s="12" t="s">
        <v>559</v>
      </c>
      <c r="B114" s="12" t="s">
        <v>560</v>
      </c>
      <c r="C114" s="12"/>
      <c r="D114" s="12"/>
      <c r="E114" s="12" t="s">
        <v>339</v>
      </c>
    </row>
    <row r="115" customFormat="false" ht="15" hidden="false" customHeight="false" outlineLevel="0" collapsed="false">
      <c r="A115" s="12" t="s">
        <v>561</v>
      </c>
      <c r="B115" s="12" t="s">
        <v>560</v>
      </c>
      <c r="C115" s="12"/>
      <c r="D115" s="12"/>
      <c r="E115" s="12" t="s">
        <v>339</v>
      </c>
    </row>
    <row r="116" customFormat="false" ht="15" hidden="false" customHeight="false" outlineLevel="0" collapsed="false">
      <c r="A116" s="12" t="s">
        <v>562</v>
      </c>
      <c r="B116" s="12" t="s">
        <v>560</v>
      </c>
      <c r="C116" s="12" t="s">
        <v>563</v>
      </c>
      <c r="D116" s="12" t="n">
        <v>3</v>
      </c>
      <c r="E116" s="12" t="s">
        <v>339</v>
      </c>
    </row>
    <row r="117" customFormat="false" ht="15" hidden="false" customHeight="false" outlineLevel="0" collapsed="false">
      <c r="A117" s="12" t="s">
        <v>564</v>
      </c>
      <c r="B117" s="12" t="s">
        <v>565</v>
      </c>
      <c r="C117" s="12" t="s">
        <v>566</v>
      </c>
      <c r="D117" s="12"/>
      <c r="E117" s="12" t="s">
        <v>339</v>
      </c>
    </row>
    <row r="118" customFormat="false" ht="15" hidden="false" customHeight="false" outlineLevel="0" collapsed="false">
      <c r="A118" s="12" t="s">
        <v>567</v>
      </c>
      <c r="B118" s="12" t="s">
        <v>568</v>
      </c>
      <c r="C118" s="12" t="s">
        <v>569</v>
      </c>
      <c r="D118" s="12" t="n">
        <v>185</v>
      </c>
      <c r="E118" s="12" t="s">
        <v>358</v>
      </c>
    </row>
    <row r="119" customFormat="false" ht="15" hidden="false" customHeight="false" outlineLevel="0" collapsed="false">
      <c r="A119" s="12" t="s">
        <v>570</v>
      </c>
      <c r="B119" s="12" t="s">
        <v>571</v>
      </c>
      <c r="C119" s="12" t="s">
        <v>572</v>
      </c>
      <c r="D119" s="12" t="n">
        <v>265</v>
      </c>
      <c r="E119" s="12" t="s">
        <v>358</v>
      </c>
    </row>
    <row r="120" customFormat="false" ht="15" hidden="false" customHeight="false" outlineLevel="0" collapsed="false">
      <c r="A120" s="12" t="s">
        <v>573</v>
      </c>
      <c r="B120" s="12" t="s">
        <v>574</v>
      </c>
      <c r="C120" s="12" t="s">
        <v>575</v>
      </c>
      <c r="D120" s="12" t="n">
        <v>194</v>
      </c>
      <c r="E120" s="12" t="s">
        <v>358</v>
      </c>
    </row>
    <row r="121" customFormat="false" ht="15" hidden="false" customHeight="false" outlineLevel="0" collapsed="false">
      <c r="A121" s="12" t="s">
        <v>576</v>
      </c>
      <c r="B121" s="12" t="s">
        <v>369</v>
      </c>
      <c r="C121" s="12" t="s">
        <v>577</v>
      </c>
      <c r="D121" s="12" t="n">
        <v>26</v>
      </c>
      <c r="E121" s="12" t="s">
        <v>358</v>
      </c>
    </row>
    <row r="122" customFormat="false" ht="15" hidden="false" customHeight="false" outlineLevel="0" collapsed="false">
      <c r="A122" s="12" t="s">
        <v>578</v>
      </c>
      <c r="B122" s="12" t="s">
        <v>390</v>
      </c>
      <c r="C122" s="12"/>
      <c r="D122" s="12" t="n">
        <v>57</v>
      </c>
      <c r="E122" s="12" t="s">
        <v>358</v>
      </c>
    </row>
    <row r="123" customFormat="false" ht="15" hidden="false" customHeight="false" outlineLevel="0" collapsed="false">
      <c r="A123" s="12" t="s">
        <v>579</v>
      </c>
      <c r="B123" s="12" t="s">
        <v>369</v>
      </c>
      <c r="C123" s="12" t="s">
        <v>580</v>
      </c>
      <c r="D123" s="12" t="n">
        <v>242</v>
      </c>
      <c r="E123" s="12" t="s">
        <v>358</v>
      </c>
    </row>
    <row r="124" customFormat="false" ht="15" hidden="false" customHeight="false" outlineLevel="0" collapsed="false">
      <c r="A124" s="12" t="s">
        <v>581</v>
      </c>
      <c r="B124" s="12" t="s">
        <v>43</v>
      </c>
      <c r="C124" s="12" t="s">
        <v>582</v>
      </c>
      <c r="D124" s="12" t="n">
        <v>850</v>
      </c>
      <c r="E124" s="12" t="s">
        <v>327</v>
      </c>
    </row>
    <row r="125" customFormat="false" ht="15" hidden="false" customHeight="false" outlineLevel="0" collapsed="false">
      <c r="A125" s="12" t="s">
        <v>583</v>
      </c>
      <c r="B125" s="12" t="s">
        <v>50</v>
      </c>
      <c r="C125" s="12" t="s">
        <v>584</v>
      </c>
      <c r="D125" s="12" t="n">
        <v>120</v>
      </c>
      <c r="E125" s="12" t="s">
        <v>327</v>
      </c>
    </row>
    <row r="126" customFormat="false" ht="15" hidden="false" customHeight="false" outlineLevel="0" collapsed="false">
      <c r="A126" s="12" t="s">
        <v>585</v>
      </c>
      <c r="B126" s="12" t="s">
        <v>586</v>
      </c>
      <c r="C126" s="12" t="s">
        <v>587</v>
      </c>
      <c r="D126" s="12"/>
      <c r="E126" s="12" t="s">
        <v>493</v>
      </c>
    </row>
    <row r="127" customFormat="false" ht="15" hidden="false" customHeight="false" outlineLevel="0" collapsed="false">
      <c r="A127" s="12" t="s">
        <v>588</v>
      </c>
      <c r="B127" s="12" t="s">
        <v>43</v>
      </c>
      <c r="C127" s="12"/>
      <c r="D127" s="12" t="n">
        <v>6</v>
      </c>
      <c r="E127" s="12" t="s">
        <v>493</v>
      </c>
    </row>
    <row r="128" customFormat="false" ht="15" hidden="false" customHeight="false" outlineLevel="0" collapsed="false">
      <c r="A128" s="12" t="s">
        <v>589</v>
      </c>
      <c r="B128" s="12" t="s">
        <v>586</v>
      </c>
      <c r="C128" s="12" t="s">
        <v>590</v>
      </c>
      <c r="D128" s="12"/>
      <c r="E128" s="12" t="s">
        <v>493</v>
      </c>
    </row>
    <row r="129" customFormat="false" ht="15" hidden="false" customHeight="false" outlineLevel="0" collapsed="false">
      <c r="A129" s="12" t="s">
        <v>591</v>
      </c>
      <c r="B129" s="12" t="s">
        <v>43</v>
      </c>
      <c r="C129" s="12" t="s">
        <v>592</v>
      </c>
      <c r="D129" s="12" t="n">
        <v>1685</v>
      </c>
      <c r="E129" s="12" t="s">
        <v>327</v>
      </c>
    </row>
    <row r="130" customFormat="false" ht="15" hidden="false" customHeight="false" outlineLevel="0" collapsed="false">
      <c r="A130" s="12" t="s">
        <v>593</v>
      </c>
      <c r="B130" s="12" t="s">
        <v>237</v>
      </c>
      <c r="C130" s="12"/>
      <c r="D130" s="12" t="n">
        <v>3</v>
      </c>
      <c r="E130" s="12" t="s">
        <v>493</v>
      </c>
    </row>
    <row r="131" customFormat="false" ht="15" hidden="false" customHeight="false" outlineLevel="0" collapsed="false">
      <c r="A131" s="12" t="s">
        <v>594</v>
      </c>
      <c r="B131" s="12" t="s">
        <v>595</v>
      </c>
      <c r="C131" s="12" t="s">
        <v>596</v>
      </c>
      <c r="D131" s="12" t="n">
        <v>95</v>
      </c>
      <c r="E131" s="12" t="s">
        <v>339</v>
      </c>
    </row>
    <row r="132" customFormat="false" ht="15" hidden="false" customHeight="false" outlineLevel="0" collapsed="false">
      <c r="A132" s="12" t="s">
        <v>597</v>
      </c>
      <c r="B132" s="12" t="s">
        <v>595</v>
      </c>
      <c r="C132" s="12"/>
      <c r="D132" s="12"/>
      <c r="E132" s="12" t="s">
        <v>339</v>
      </c>
    </row>
    <row r="133" customFormat="false" ht="15" hidden="false" customHeight="false" outlineLevel="0" collapsed="false">
      <c r="A133" s="12" t="s">
        <v>598</v>
      </c>
      <c r="B133" s="12" t="s">
        <v>595</v>
      </c>
      <c r="C133" s="12" t="s">
        <v>599</v>
      </c>
      <c r="D133" s="12"/>
      <c r="E133" s="12" t="s">
        <v>339</v>
      </c>
    </row>
    <row r="134" customFormat="false" ht="15" hidden="false" customHeight="false" outlineLevel="0" collapsed="false">
      <c r="A134" s="12" t="s">
        <v>600</v>
      </c>
      <c r="B134" s="12" t="s">
        <v>560</v>
      </c>
      <c r="C134" s="12" t="s">
        <v>601</v>
      </c>
      <c r="D134" s="12"/>
      <c r="E134" s="12" t="s">
        <v>339</v>
      </c>
    </row>
    <row r="135" customFormat="false" ht="15" hidden="false" customHeight="false" outlineLevel="0" collapsed="false">
      <c r="A135" s="12" t="s">
        <v>600</v>
      </c>
      <c r="B135" s="12" t="s">
        <v>560</v>
      </c>
      <c r="C135" s="12" t="s">
        <v>602</v>
      </c>
      <c r="D135" s="12"/>
      <c r="E135" s="12" t="s">
        <v>339</v>
      </c>
    </row>
    <row r="136" customFormat="false" ht="15" hidden="false" customHeight="false" outlineLevel="0" collapsed="false">
      <c r="A136" s="12" t="s">
        <v>603</v>
      </c>
      <c r="B136" s="12" t="s">
        <v>560</v>
      </c>
      <c r="C136" s="12" t="s">
        <v>604</v>
      </c>
      <c r="D136" s="12" t="n">
        <v>1</v>
      </c>
      <c r="E136" s="12" t="s">
        <v>339</v>
      </c>
    </row>
    <row r="137" customFormat="false" ht="15" hidden="false" customHeight="false" outlineLevel="0" collapsed="false">
      <c r="A137" s="12" t="s">
        <v>605</v>
      </c>
      <c r="B137" s="12" t="s">
        <v>606</v>
      </c>
      <c r="C137" s="12" t="s">
        <v>607</v>
      </c>
      <c r="D137" s="12" t="n">
        <v>231</v>
      </c>
      <c r="E137" s="12" t="s">
        <v>358</v>
      </c>
    </row>
    <row r="138" customFormat="false" ht="15" hidden="false" customHeight="false" outlineLevel="0" collapsed="false">
      <c r="A138" s="12" t="s">
        <v>608</v>
      </c>
      <c r="B138" s="12" t="s">
        <v>609</v>
      </c>
      <c r="C138" s="12" t="s">
        <v>610</v>
      </c>
      <c r="D138" s="12" t="n">
        <v>165</v>
      </c>
      <c r="E138" s="12" t="s">
        <v>358</v>
      </c>
    </row>
    <row r="139" customFormat="false" ht="15" hidden="false" customHeight="false" outlineLevel="0" collapsed="false">
      <c r="A139" s="12" t="s">
        <v>611</v>
      </c>
      <c r="B139" s="12" t="s">
        <v>438</v>
      </c>
      <c r="C139" s="12" t="s">
        <v>612</v>
      </c>
      <c r="D139" s="12" t="n">
        <v>51</v>
      </c>
      <c r="E139" s="12" t="s">
        <v>358</v>
      </c>
    </row>
    <row r="140" customFormat="false" ht="15" hidden="false" customHeight="false" outlineLevel="0" collapsed="false">
      <c r="A140" s="12" t="s">
        <v>613</v>
      </c>
      <c r="B140" s="12" t="s">
        <v>438</v>
      </c>
      <c r="C140" s="12" t="s">
        <v>614</v>
      </c>
      <c r="D140" s="12" t="n">
        <v>702</v>
      </c>
      <c r="E140" s="12" t="s">
        <v>358</v>
      </c>
    </row>
    <row r="141" customFormat="false" ht="15" hidden="false" customHeight="false" outlineLevel="0" collapsed="false">
      <c r="A141" s="12" t="s">
        <v>615</v>
      </c>
      <c r="B141" s="12" t="s">
        <v>43</v>
      </c>
      <c r="C141" s="12"/>
      <c r="D141" s="12"/>
      <c r="E141" s="12" t="s">
        <v>339</v>
      </c>
    </row>
    <row r="142" customFormat="false" ht="15" hidden="false" customHeight="false" outlineLevel="0" collapsed="false">
      <c r="A142" s="12" t="s">
        <v>616</v>
      </c>
      <c r="B142" s="12" t="s">
        <v>43</v>
      </c>
      <c r="C142" s="12"/>
      <c r="D142" s="12" t="n">
        <v>4</v>
      </c>
      <c r="E142" s="12" t="s">
        <v>339</v>
      </c>
    </row>
    <row r="143" customFormat="false" ht="15" hidden="false" customHeight="false" outlineLevel="0" collapsed="false">
      <c r="A143" s="12" t="s">
        <v>617</v>
      </c>
      <c r="B143" s="12" t="s">
        <v>43</v>
      </c>
      <c r="C143" s="12"/>
      <c r="D143" s="12"/>
      <c r="E143" s="12" t="s">
        <v>493</v>
      </c>
    </row>
    <row r="144" customFormat="false" ht="15" hidden="false" customHeight="false" outlineLevel="0" collapsed="false">
      <c r="A144" s="12" t="s">
        <v>618</v>
      </c>
      <c r="B144" s="12" t="s">
        <v>43</v>
      </c>
      <c r="C144" s="12"/>
      <c r="D144" s="12"/>
      <c r="E144" s="12" t="s">
        <v>339</v>
      </c>
    </row>
    <row r="145" customFormat="false" ht="15" hidden="false" customHeight="false" outlineLevel="0" collapsed="false">
      <c r="A145" s="12" t="s">
        <v>619</v>
      </c>
      <c r="B145" s="12" t="s">
        <v>43</v>
      </c>
      <c r="C145" s="12"/>
      <c r="D145" s="12" t="n">
        <v>1</v>
      </c>
      <c r="E145" s="12" t="s">
        <v>493</v>
      </c>
    </row>
    <row r="146" customFormat="false" ht="15" hidden="false" customHeight="false" outlineLevel="0" collapsed="false">
      <c r="A146" s="12" t="s">
        <v>620</v>
      </c>
      <c r="B146" s="12" t="s">
        <v>43</v>
      </c>
      <c r="C146" s="12"/>
      <c r="D146" s="12"/>
      <c r="E146" s="12" t="s">
        <v>493</v>
      </c>
    </row>
    <row r="147" customFormat="false" ht="15" hidden="false" customHeight="false" outlineLevel="0" collapsed="false">
      <c r="A147" s="12" t="s">
        <v>621</v>
      </c>
      <c r="B147" s="12" t="s">
        <v>43</v>
      </c>
      <c r="C147" s="12" t="s">
        <v>622</v>
      </c>
      <c r="D147" s="12" t="n">
        <v>3</v>
      </c>
      <c r="E147" s="12" t="s">
        <v>623</v>
      </c>
    </row>
    <row r="148" customFormat="false" ht="15" hidden="false" customHeight="false" outlineLevel="0" collapsed="false">
      <c r="A148" s="12" t="s">
        <v>624</v>
      </c>
      <c r="B148" s="12" t="s">
        <v>625</v>
      </c>
      <c r="C148" s="12" t="s">
        <v>626</v>
      </c>
      <c r="D148" s="12" t="n">
        <v>6697</v>
      </c>
      <c r="E148" s="12" t="s">
        <v>358</v>
      </c>
    </row>
    <row r="149" customFormat="false" ht="15" hidden="false" customHeight="false" outlineLevel="0" collapsed="false">
      <c r="A149" s="12" t="s">
        <v>627</v>
      </c>
      <c r="B149" s="12" t="s">
        <v>400</v>
      </c>
      <c r="C149" s="12" t="s">
        <v>628</v>
      </c>
      <c r="D149" s="12" t="n">
        <v>2</v>
      </c>
      <c r="E149" s="12" t="s">
        <v>358</v>
      </c>
    </row>
    <row r="150" customFormat="false" ht="15" hidden="false" customHeight="false" outlineLevel="0" collapsed="false">
      <c r="A150" s="12" t="s">
        <v>629</v>
      </c>
      <c r="B150" s="12" t="s">
        <v>630</v>
      </c>
      <c r="C150" s="12" t="s">
        <v>631</v>
      </c>
      <c r="D150" s="12" t="n">
        <v>1</v>
      </c>
      <c r="E150" s="12" t="s">
        <v>358</v>
      </c>
    </row>
    <row r="151" customFormat="false" ht="15" hidden="false" customHeight="false" outlineLevel="0" collapsed="false">
      <c r="A151" s="12" t="s">
        <v>632</v>
      </c>
      <c r="B151" s="12" t="s">
        <v>400</v>
      </c>
      <c r="C151" s="12"/>
      <c r="D151" s="12" t="n">
        <v>33</v>
      </c>
      <c r="E151" s="12" t="s">
        <v>358</v>
      </c>
    </row>
    <row r="152" customFormat="false" ht="15" hidden="false" customHeight="false" outlineLevel="0" collapsed="false">
      <c r="A152" s="12" t="s">
        <v>633</v>
      </c>
      <c r="B152" s="12" t="s">
        <v>369</v>
      </c>
      <c r="C152" s="12" t="s">
        <v>634</v>
      </c>
      <c r="D152" s="12" t="n">
        <v>62</v>
      </c>
      <c r="E152" s="12" t="s">
        <v>358</v>
      </c>
    </row>
    <row r="153" customFormat="false" ht="15" hidden="false" customHeight="false" outlineLevel="0" collapsed="false">
      <c r="A153" s="12" t="s">
        <v>635</v>
      </c>
      <c r="B153" s="12" t="s">
        <v>636</v>
      </c>
      <c r="C153" s="12" t="s">
        <v>637</v>
      </c>
      <c r="D153" s="12" t="n">
        <v>957</v>
      </c>
      <c r="E153" s="12" t="s">
        <v>358</v>
      </c>
    </row>
    <row r="154" customFormat="false" ht="15" hidden="false" customHeight="false" outlineLevel="0" collapsed="false">
      <c r="A154" s="12" t="s">
        <v>638</v>
      </c>
      <c r="B154" s="12" t="s">
        <v>369</v>
      </c>
      <c r="C154" s="12" t="s">
        <v>639</v>
      </c>
      <c r="D154" s="12" t="n">
        <v>330</v>
      </c>
      <c r="E154" s="12" t="s">
        <v>358</v>
      </c>
    </row>
    <row r="155" customFormat="false" ht="15" hidden="false" customHeight="false" outlineLevel="0" collapsed="false">
      <c r="A155" s="12" t="s">
        <v>640</v>
      </c>
      <c r="B155" s="12" t="s">
        <v>390</v>
      </c>
      <c r="C155" s="12" t="s">
        <v>641</v>
      </c>
      <c r="D155" s="12" t="n">
        <v>127</v>
      </c>
      <c r="E155" s="12" t="s">
        <v>358</v>
      </c>
    </row>
    <row r="156" customFormat="false" ht="15" hidden="false" customHeight="false" outlineLevel="0" collapsed="false">
      <c r="A156" s="12" t="s">
        <v>642</v>
      </c>
      <c r="B156" s="12" t="s">
        <v>643</v>
      </c>
      <c r="C156" s="12" t="s">
        <v>644</v>
      </c>
      <c r="D156" s="12" t="n">
        <v>486</v>
      </c>
      <c r="E156" s="12" t="s">
        <v>358</v>
      </c>
    </row>
    <row r="157" customFormat="false" ht="15" hidden="false" customHeight="false" outlineLevel="0" collapsed="false">
      <c r="A157" s="12" t="s">
        <v>645</v>
      </c>
      <c r="B157" s="12" t="s">
        <v>390</v>
      </c>
      <c r="C157" s="12"/>
      <c r="D157" s="12" t="n">
        <v>24</v>
      </c>
      <c r="E157" s="12" t="s">
        <v>358</v>
      </c>
    </row>
    <row r="158" customFormat="false" ht="15" hidden="false" customHeight="false" outlineLevel="0" collapsed="false">
      <c r="A158" s="12" t="s">
        <v>646</v>
      </c>
      <c r="B158" s="12" t="s">
        <v>647</v>
      </c>
      <c r="C158" s="12" t="s">
        <v>648</v>
      </c>
      <c r="D158" s="12" t="n">
        <v>6</v>
      </c>
      <c r="E158" s="12" t="s">
        <v>358</v>
      </c>
    </row>
    <row r="159" customFormat="false" ht="15" hidden="false" customHeight="false" outlineLevel="0" collapsed="false">
      <c r="A159" s="12" t="s">
        <v>649</v>
      </c>
      <c r="B159" s="12" t="s">
        <v>650</v>
      </c>
      <c r="C159" s="12" t="s">
        <v>651</v>
      </c>
      <c r="D159" s="12" t="n">
        <v>6093</v>
      </c>
      <c r="E159" s="12" t="s">
        <v>358</v>
      </c>
    </row>
    <row r="160" customFormat="false" ht="15" hidden="false" customHeight="false" outlineLevel="0" collapsed="false">
      <c r="A160" s="12" t="s">
        <v>652</v>
      </c>
      <c r="B160" s="12" t="s">
        <v>647</v>
      </c>
      <c r="C160" s="12" t="s">
        <v>653</v>
      </c>
      <c r="D160" s="12"/>
      <c r="E160" s="12" t="s">
        <v>358</v>
      </c>
    </row>
    <row r="161" customFormat="false" ht="15" hidden="false" customHeight="false" outlineLevel="0" collapsed="false">
      <c r="A161" s="12" t="s">
        <v>654</v>
      </c>
      <c r="B161" s="12"/>
      <c r="C161" s="12"/>
      <c r="D161" s="12"/>
      <c r="E161" s="12" t="s">
        <v>358</v>
      </c>
    </row>
    <row r="162" customFormat="false" ht="15" hidden="false" customHeight="false" outlineLevel="0" collapsed="false">
      <c r="A162" s="12" t="s">
        <v>655</v>
      </c>
      <c r="B162" s="12"/>
      <c r="C162" s="12"/>
      <c r="D162" s="12"/>
      <c r="E162" s="12" t="s">
        <v>358</v>
      </c>
    </row>
    <row r="163" customFormat="false" ht="15" hidden="false" customHeight="false" outlineLevel="0" collapsed="false">
      <c r="A163" s="12" t="s">
        <v>656</v>
      </c>
      <c r="B163" s="12" t="s">
        <v>43</v>
      </c>
      <c r="C163" s="12"/>
      <c r="D163" s="12" t="n">
        <v>29</v>
      </c>
      <c r="E163" s="12" t="s">
        <v>339</v>
      </c>
    </row>
    <row r="164" customFormat="false" ht="15" hidden="false" customHeight="false" outlineLevel="0" collapsed="false">
      <c r="A164" s="12" t="s">
        <v>657</v>
      </c>
      <c r="B164" s="12" t="s">
        <v>43</v>
      </c>
      <c r="C164" s="12"/>
      <c r="D164" s="12" t="n">
        <v>6</v>
      </c>
      <c r="E164" s="12" t="s">
        <v>493</v>
      </c>
    </row>
    <row r="165" customFormat="false" ht="15" hidden="false" customHeight="false" outlineLevel="0" collapsed="false">
      <c r="A165" s="12" t="s">
        <v>658</v>
      </c>
      <c r="B165" s="12" t="s">
        <v>659</v>
      </c>
      <c r="C165" s="12" t="s">
        <v>660</v>
      </c>
      <c r="D165" s="12" t="n">
        <v>10</v>
      </c>
      <c r="E165" s="12" t="s">
        <v>358</v>
      </c>
    </row>
    <row r="166" customFormat="false" ht="15" hidden="false" customHeight="false" outlineLevel="0" collapsed="false">
      <c r="A166" s="12" t="s">
        <v>661</v>
      </c>
      <c r="B166" s="12" t="s">
        <v>397</v>
      </c>
      <c r="C166" s="12" t="s">
        <v>662</v>
      </c>
      <c r="D166" s="12" t="n">
        <v>103</v>
      </c>
      <c r="E166" s="12" t="s">
        <v>358</v>
      </c>
    </row>
    <row r="167" customFormat="false" ht="15" hidden="false" customHeight="false" outlineLevel="0" collapsed="false">
      <c r="A167" s="12" t="s">
        <v>663</v>
      </c>
      <c r="B167" s="12" t="s">
        <v>341</v>
      </c>
      <c r="C167" s="12"/>
      <c r="D167" s="12" t="n">
        <v>6</v>
      </c>
      <c r="E167" s="12" t="s">
        <v>339</v>
      </c>
    </row>
    <row r="168" customFormat="false" ht="15" hidden="false" customHeight="false" outlineLevel="0" collapsed="false">
      <c r="A168" s="12" t="s">
        <v>664</v>
      </c>
      <c r="B168" s="12" t="s">
        <v>560</v>
      </c>
      <c r="C168" s="12"/>
      <c r="D168" s="12" t="n">
        <v>8</v>
      </c>
      <c r="E168" s="12" t="s">
        <v>339</v>
      </c>
    </row>
    <row r="169" customFormat="false" ht="15" hidden="false" customHeight="false" outlineLevel="0" collapsed="false">
      <c r="A169" s="12" t="s">
        <v>664</v>
      </c>
      <c r="B169" s="12" t="s">
        <v>341</v>
      </c>
      <c r="C169" s="12" t="s">
        <v>665</v>
      </c>
      <c r="D169" s="12" t="n">
        <v>47</v>
      </c>
      <c r="E169" s="12" t="s">
        <v>339</v>
      </c>
    </row>
    <row r="170" customFormat="false" ht="15" hidden="false" customHeight="false" outlineLevel="0" collapsed="false">
      <c r="A170" s="12" t="s">
        <v>666</v>
      </c>
      <c r="B170" s="12" t="s">
        <v>595</v>
      </c>
      <c r="C170" s="12"/>
      <c r="D170" s="12"/>
      <c r="E170" s="12" t="s">
        <v>339</v>
      </c>
    </row>
    <row r="171" customFormat="false" ht="15" hidden="false" customHeight="false" outlineLevel="0" collapsed="false">
      <c r="A171" s="12" t="s">
        <v>667</v>
      </c>
      <c r="B171" s="12" t="s">
        <v>341</v>
      </c>
      <c r="C171" s="12" t="s">
        <v>668</v>
      </c>
      <c r="D171" s="12" t="n">
        <v>9</v>
      </c>
      <c r="E171" s="12" t="s">
        <v>339</v>
      </c>
    </row>
    <row r="172" customFormat="false" ht="15" hidden="false" customHeight="false" outlineLevel="0" collapsed="false">
      <c r="A172" s="12" t="s">
        <v>667</v>
      </c>
      <c r="B172" s="12" t="s">
        <v>595</v>
      </c>
      <c r="C172" s="12"/>
      <c r="D172" s="12" t="n">
        <v>9</v>
      </c>
      <c r="E172" s="12" t="s">
        <v>339</v>
      </c>
    </row>
    <row r="173" customFormat="false" ht="15" hidden="false" customHeight="false" outlineLevel="0" collapsed="false">
      <c r="A173" s="12" t="s">
        <v>669</v>
      </c>
      <c r="B173" s="12" t="s">
        <v>43</v>
      </c>
      <c r="C173" s="12"/>
      <c r="D173" s="12"/>
      <c r="E173" s="12" t="s">
        <v>339</v>
      </c>
    </row>
    <row r="174" customFormat="false" ht="15" hidden="false" customHeight="false" outlineLevel="0" collapsed="false">
      <c r="A174" s="12" t="s">
        <v>594</v>
      </c>
      <c r="B174" s="12" t="s">
        <v>341</v>
      </c>
      <c r="C174" s="12" t="s">
        <v>670</v>
      </c>
      <c r="D174" s="12" t="n">
        <v>7</v>
      </c>
      <c r="E174" s="12" t="s">
        <v>339</v>
      </c>
    </row>
    <row r="175" customFormat="false" ht="15" hidden="false" customHeight="false" outlineLevel="0" collapsed="false">
      <c r="A175" s="12" t="s">
        <v>671</v>
      </c>
      <c r="B175" s="12" t="s">
        <v>560</v>
      </c>
      <c r="C175" s="12" t="s">
        <v>672</v>
      </c>
      <c r="D175" s="12" t="n">
        <v>443</v>
      </c>
      <c r="E175" s="12" t="s">
        <v>339</v>
      </c>
    </row>
    <row r="176" customFormat="false" ht="15" hidden="false" customHeight="false" outlineLevel="0" collapsed="false">
      <c r="A176" s="12" t="s">
        <v>673</v>
      </c>
      <c r="B176" s="12" t="s">
        <v>560</v>
      </c>
      <c r="C176" s="12" t="s">
        <v>674</v>
      </c>
      <c r="D176" s="12" t="n">
        <v>49</v>
      </c>
      <c r="E176" s="12" t="s">
        <v>339</v>
      </c>
    </row>
    <row r="177" customFormat="false" ht="15" hidden="false" customHeight="false" outlineLevel="0" collapsed="false">
      <c r="A177" s="12" t="s">
        <v>675</v>
      </c>
      <c r="B177" s="12" t="s">
        <v>560</v>
      </c>
      <c r="C177" s="12" t="s">
        <v>676</v>
      </c>
      <c r="D177" s="12" t="n">
        <v>17</v>
      </c>
      <c r="E177" s="12" t="s">
        <v>339</v>
      </c>
    </row>
    <row r="178" customFormat="false" ht="15" hidden="false" customHeight="false" outlineLevel="0" collapsed="false">
      <c r="A178" s="12" t="s">
        <v>677</v>
      </c>
      <c r="B178" s="12" t="s">
        <v>560</v>
      </c>
      <c r="C178" s="12" t="s">
        <v>678</v>
      </c>
      <c r="D178" s="12" t="n">
        <v>80</v>
      </c>
      <c r="E178" s="12" t="s">
        <v>339</v>
      </c>
    </row>
    <row r="179" customFormat="false" ht="15" hidden="false" customHeight="false" outlineLevel="0" collapsed="false">
      <c r="A179" s="12" t="s">
        <v>679</v>
      </c>
      <c r="B179" s="12" t="s">
        <v>237</v>
      </c>
      <c r="C179" s="12"/>
      <c r="D179" s="12"/>
      <c r="E179" s="12" t="s">
        <v>493</v>
      </c>
    </row>
    <row r="180" customFormat="false" ht="15" hidden="false" customHeight="false" outlineLevel="0" collapsed="false">
      <c r="A180" s="12" t="s">
        <v>680</v>
      </c>
      <c r="B180" s="12" t="s">
        <v>231</v>
      </c>
      <c r="C180" s="12" t="s">
        <v>681</v>
      </c>
      <c r="D180" s="12" t="n">
        <v>8</v>
      </c>
      <c r="E180" s="12" t="s">
        <v>493</v>
      </c>
    </row>
    <row r="181" customFormat="false" ht="15" hidden="false" customHeight="false" outlineLevel="0" collapsed="false">
      <c r="A181" s="12" t="s">
        <v>682</v>
      </c>
      <c r="B181" s="12" t="s">
        <v>43</v>
      </c>
      <c r="C181" s="12"/>
      <c r="D181" s="12" t="n">
        <v>1</v>
      </c>
      <c r="E181" s="12" t="s">
        <v>339</v>
      </c>
    </row>
    <row r="182" customFormat="false" ht="15" hidden="false" customHeight="false" outlineLevel="0" collapsed="false">
      <c r="A182" s="12" t="s">
        <v>683</v>
      </c>
      <c r="B182" s="12" t="s">
        <v>43</v>
      </c>
      <c r="C182" s="12" t="s">
        <v>684</v>
      </c>
      <c r="D182" s="12" t="n">
        <v>2420</v>
      </c>
      <c r="E182" s="12" t="s">
        <v>327</v>
      </c>
    </row>
    <row r="183" customFormat="false" ht="15" hidden="false" customHeight="false" outlineLevel="0" collapsed="false">
      <c r="A183" s="12" t="s">
        <v>685</v>
      </c>
      <c r="B183" s="12" t="s">
        <v>231</v>
      </c>
      <c r="C183" s="12" t="s">
        <v>686</v>
      </c>
      <c r="D183" s="12" t="n">
        <v>9</v>
      </c>
      <c r="E183" s="12" t="s">
        <v>493</v>
      </c>
    </row>
    <row r="184" customFormat="false" ht="15" hidden="false" customHeight="false" outlineLevel="0" collapsed="false">
      <c r="A184" s="12" t="s">
        <v>687</v>
      </c>
      <c r="B184" s="12" t="s">
        <v>560</v>
      </c>
      <c r="C184" s="12"/>
      <c r="D184" s="12"/>
      <c r="E184" s="12" t="s">
        <v>339</v>
      </c>
    </row>
    <row r="185" customFormat="false" ht="15" hidden="false" customHeight="false" outlineLevel="0" collapsed="false">
      <c r="A185" s="12" t="s">
        <v>688</v>
      </c>
      <c r="B185" s="12" t="s">
        <v>595</v>
      </c>
      <c r="C185" s="12"/>
      <c r="D185" s="12" t="n">
        <v>4</v>
      </c>
      <c r="E185" s="12" t="s">
        <v>339</v>
      </c>
    </row>
    <row r="186" customFormat="false" ht="15" hidden="false" customHeight="false" outlineLevel="0" collapsed="false">
      <c r="A186" s="12" t="s">
        <v>688</v>
      </c>
      <c r="B186" s="12" t="s">
        <v>595</v>
      </c>
      <c r="C186" s="12"/>
      <c r="D186" s="12" t="n">
        <v>3</v>
      </c>
      <c r="E186" s="12" t="s">
        <v>339</v>
      </c>
    </row>
    <row r="187" customFormat="false" ht="15" hidden="false" customHeight="false" outlineLevel="0" collapsed="false">
      <c r="A187" s="12" t="s">
        <v>689</v>
      </c>
      <c r="B187" s="12" t="s">
        <v>560</v>
      </c>
      <c r="C187" s="12"/>
      <c r="D187" s="12" t="n">
        <v>44</v>
      </c>
      <c r="E187" s="12" t="s">
        <v>339</v>
      </c>
    </row>
    <row r="188" customFormat="false" ht="15" hidden="false" customHeight="false" outlineLevel="0" collapsed="false">
      <c r="A188" s="12" t="s">
        <v>690</v>
      </c>
      <c r="B188" s="12" t="s">
        <v>560</v>
      </c>
      <c r="C188" s="12"/>
      <c r="D188" s="12" t="n">
        <v>26</v>
      </c>
      <c r="E188" s="12" t="s">
        <v>339</v>
      </c>
    </row>
    <row r="189" customFormat="false" ht="15" hidden="false" customHeight="false" outlineLevel="0" collapsed="false">
      <c r="A189" s="12" t="s">
        <v>691</v>
      </c>
      <c r="B189" s="12" t="s">
        <v>43</v>
      </c>
      <c r="C189" s="12" t="s">
        <v>692</v>
      </c>
      <c r="D189" s="12" t="n">
        <v>1199</v>
      </c>
      <c r="E189" s="12" t="s">
        <v>327</v>
      </c>
    </row>
    <row r="190" customFormat="false" ht="15" hidden="false" customHeight="false" outlineLevel="0" collapsed="false">
      <c r="A190" s="12" t="s">
        <v>693</v>
      </c>
      <c r="B190" s="12" t="s">
        <v>369</v>
      </c>
      <c r="C190" s="12" t="s">
        <v>694</v>
      </c>
      <c r="D190" s="12" t="n">
        <v>174</v>
      </c>
      <c r="E190" s="12" t="s">
        <v>358</v>
      </c>
    </row>
    <row r="191" customFormat="false" ht="15" hidden="false" customHeight="false" outlineLevel="0" collapsed="false">
      <c r="A191" s="12" t="s">
        <v>695</v>
      </c>
      <c r="B191" s="12" t="s">
        <v>369</v>
      </c>
      <c r="C191" s="12" t="s">
        <v>696</v>
      </c>
      <c r="D191" s="12" t="n">
        <v>82</v>
      </c>
      <c r="E191" s="12" t="s">
        <v>358</v>
      </c>
    </row>
    <row r="192" customFormat="false" ht="15" hidden="false" customHeight="false" outlineLevel="0" collapsed="false">
      <c r="A192" s="12" t="s">
        <v>697</v>
      </c>
      <c r="B192" s="12" t="s">
        <v>698</v>
      </c>
      <c r="C192" s="12" t="s">
        <v>699</v>
      </c>
      <c r="D192" s="12" t="n">
        <v>19508</v>
      </c>
      <c r="E192" s="12" t="s">
        <v>358</v>
      </c>
    </row>
    <row r="193" customFormat="false" ht="15" hidden="false" customHeight="false" outlineLevel="0" collapsed="false">
      <c r="A193" s="12" t="s">
        <v>700</v>
      </c>
      <c r="B193" s="12" t="s">
        <v>237</v>
      </c>
      <c r="C193" s="12"/>
      <c r="D193" s="12" t="n">
        <v>3</v>
      </c>
      <c r="E193" s="12" t="s">
        <v>493</v>
      </c>
    </row>
    <row r="194" customFormat="false" ht="15" hidden="false" customHeight="false" outlineLevel="0" collapsed="false">
      <c r="A194" s="12" t="s">
        <v>701</v>
      </c>
      <c r="B194" s="12" t="s">
        <v>50</v>
      </c>
      <c r="C194" s="12" t="s">
        <v>702</v>
      </c>
      <c r="D194" s="12" t="n">
        <v>63</v>
      </c>
      <c r="E194" s="12" t="s">
        <v>327</v>
      </c>
    </row>
    <row r="195" customFormat="false" ht="15" hidden="false" customHeight="false" outlineLevel="0" collapsed="false">
      <c r="A195" s="12" t="s">
        <v>703</v>
      </c>
      <c r="B195" s="12" t="s">
        <v>50</v>
      </c>
      <c r="C195" s="12" t="s">
        <v>704</v>
      </c>
      <c r="D195" s="12" t="n">
        <v>4</v>
      </c>
      <c r="E195" s="12" t="s">
        <v>493</v>
      </c>
    </row>
    <row r="196" customFormat="false" ht="15" hidden="false" customHeight="false" outlineLevel="0" collapsed="false">
      <c r="A196" s="12" t="s">
        <v>705</v>
      </c>
      <c r="B196" s="12" t="s">
        <v>706</v>
      </c>
      <c r="C196" s="12" t="s">
        <v>707</v>
      </c>
      <c r="D196" s="12" t="n">
        <v>421</v>
      </c>
      <c r="E196" s="12" t="s">
        <v>358</v>
      </c>
    </row>
    <row r="197" customFormat="false" ht="15" hidden="false" customHeight="false" outlineLevel="0" collapsed="false">
      <c r="A197" s="12" t="s">
        <v>708</v>
      </c>
      <c r="B197" s="12" t="s">
        <v>555</v>
      </c>
      <c r="C197" s="12"/>
      <c r="D197" s="12"/>
      <c r="E197" s="12" t="s">
        <v>339</v>
      </c>
    </row>
    <row r="198" customFormat="false" ht="15" hidden="false" customHeight="false" outlineLevel="0" collapsed="false">
      <c r="A198" s="12" t="s">
        <v>709</v>
      </c>
      <c r="B198" s="12" t="s">
        <v>555</v>
      </c>
      <c r="C198" s="12"/>
      <c r="D198" s="12"/>
      <c r="E198" s="12" t="s">
        <v>339</v>
      </c>
    </row>
    <row r="199" customFormat="false" ht="15" hidden="false" customHeight="false" outlineLevel="0" collapsed="false">
      <c r="A199" s="12" t="s">
        <v>710</v>
      </c>
      <c r="B199" s="12" t="s">
        <v>555</v>
      </c>
      <c r="C199" s="12"/>
      <c r="D199" s="12"/>
      <c r="E199" s="12" t="s">
        <v>339</v>
      </c>
    </row>
    <row r="200" customFormat="false" ht="15" hidden="false" customHeight="false" outlineLevel="0" collapsed="false">
      <c r="A200" s="12" t="s">
        <v>711</v>
      </c>
      <c r="B200" s="12" t="s">
        <v>438</v>
      </c>
      <c r="C200" s="12" t="s">
        <v>712</v>
      </c>
      <c r="D200" s="12" t="n">
        <v>113</v>
      </c>
      <c r="E200" s="12" t="s">
        <v>358</v>
      </c>
    </row>
    <row r="201" customFormat="false" ht="15" hidden="false" customHeight="false" outlineLevel="0" collapsed="false">
      <c r="A201" s="12" t="s">
        <v>713</v>
      </c>
      <c r="B201" s="12" t="s">
        <v>714</v>
      </c>
      <c r="C201" s="12" t="s">
        <v>715</v>
      </c>
      <c r="D201" s="12" t="n">
        <v>230</v>
      </c>
      <c r="E201" s="12" t="s">
        <v>358</v>
      </c>
    </row>
    <row r="202" customFormat="false" ht="15" hidden="false" customHeight="false" outlineLevel="0" collapsed="false">
      <c r="A202" s="12" t="s">
        <v>716</v>
      </c>
      <c r="B202" s="12" t="s">
        <v>400</v>
      </c>
      <c r="C202" s="12" t="s">
        <v>717</v>
      </c>
      <c r="D202" s="12"/>
      <c r="E202" s="12" t="s">
        <v>358</v>
      </c>
    </row>
    <row r="203" customFormat="false" ht="15" hidden="false" customHeight="false" outlineLevel="0" collapsed="false">
      <c r="A203" s="12" t="s">
        <v>718</v>
      </c>
      <c r="B203" s="12" t="s">
        <v>43</v>
      </c>
      <c r="C203" s="12"/>
      <c r="D203" s="12"/>
      <c r="E203" s="12" t="s">
        <v>339</v>
      </c>
    </row>
    <row r="204" customFormat="false" ht="15" hidden="false" customHeight="false" outlineLevel="0" collapsed="false">
      <c r="A204" s="12" t="s">
        <v>719</v>
      </c>
      <c r="B204" s="12" t="s">
        <v>43</v>
      </c>
      <c r="C204" s="12"/>
      <c r="D204" s="12" t="n">
        <v>8</v>
      </c>
      <c r="E204" s="12" t="s">
        <v>339</v>
      </c>
    </row>
    <row r="205" customFormat="false" ht="15" hidden="false" customHeight="false" outlineLevel="0" collapsed="false">
      <c r="A205" s="12" t="s">
        <v>720</v>
      </c>
      <c r="B205" s="12" t="s">
        <v>43</v>
      </c>
      <c r="C205" s="12"/>
      <c r="D205" s="12" t="n">
        <v>1</v>
      </c>
      <c r="E205" s="12" t="s">
        <v>339</v>
      </c>
    </row>
    <row r="206" customFormat="false" ht="15" hidden="false" customHeight="false" outlineLevel="0" collapsed="false">
      <c r="A206" s="12" t="s">
        <v>721</v>
      </c>
      <c r="B206" s="12" t="s">
        <v>43</v>
      </c>
      <c r="C206" s="12" t="s">
        <v>722</v>
      </c>
      <c r="D206" s="12" t="n">
        <v>47</v>
      </c>
      <c r="E206" s="12" t="s">
        <v>623</v>
      </c>
    </row>
    <row r="207" customFormat="false" ht="15" hidden="false" customHeight="false" outlineLevel="0" collapsed="false">
      <c r="A207" s="12" t="s">
        <v>723</v>
      </c>
      <c r="B207" s="12" t="s">
        <v>43</v>
      </c>
      <c r="C207" s="12"/>
      <c r="D207" s="12" t="n">
        <v>1</v>
      </c>
      <c r="E207" s="12" t="s">
        <v>623</v>
      </c>
    </row>
    <row r="208" customFormat="false" ht="15" hidden="false" customHeight="false" outlineLevel="0" collapsed="false">
      <c r="A208" s="12" t="s">
        <v>724</v>
      </c>
      <c r="B208" s="12" t="s">
        <v>606</v>
      </c>
      <c r="C208" s="12" t="s">
        <v>725</v>
      </c>
      <c r="D208" s="12" t="n">
        <v>208</v>
      </c>
      <c r="E208" s="12" t="s">
        <v>358</v>
      </c>
    </row>
    <row r="209" customFormat="false" ht="15" hidden="false" customHeight="false" outlineLevel="0" collapsed="false">
      <c r="A209" s="12" t="s">
        <v>726</v>
      </c>
      <c r="B209" s="12" t="s">
        <v>727</v>
      </c>
      <c r="C209" s="12" t="s">
        <v>728</v>
      </c>
      <c r="D209" s="12" t="n">
        <v>378</v>
      </c>
      <c r="E209" s="12" t="s">
        <v>358</v>
      </c>
    </row>
    <row r="210" customFormat="false" ht="15" hidden="false" customHeight="false" outlineLevel="0" collapsed="false">
      <c r="A210" s="12" t="s">
        <v>729</v>
      </c>
      <c r="B210" s="12" t="s">
        <v>730</v>
      </c>
      <c r="C210" s="12" t="s">
        <v>731</v>
      </c>
      <c r="D210" s="12" t="n">
        <v>206</v>
      </c>
      <c r="E210" s="12" t="s">
        <v>358</v>
      </c>
    </row>
    <row r="211" customFormat="false" ht="15" hidden="false" customHeight="false" outlineLevel="0" collapsed="false">
      <c r="A211" s="12" t="s">
        <v>732</v>
      </c>
      <c r="B211" s="12" t="s">
        <v>733</v>
      </c>
      <c r="C211" s="12" t="s">
        <v>734</v>
      </c>
      <c r="D211" s="12" t="n">
        <v>344</v>
      </c>
      <c r="E211" s="12" t="s">
        <v>358</v>
      </c>
    </row>
    <row r="212" customFormat="false" ht="15" hidden="false" customHeight="false" outlineLevel="0" collapsed="false">
      <c r="A212" s="12" t="s">
        <v>735</v>
      </c>
      <c r="B212" s="12" t="s">
        <v>736</v>
      </c>
      <c r="C212" s="12" t="s">
        <v>737</v>
      </c>
      <c r="D212" s="12" t="n">
        <v>414</v>
      </c>
      <c r="E212" s="12" t="s">
        <v>358</v>
      </c>
    </row>
    <row r="213" customFormat="false" ht="15" hidden="false" customHeight="false" outlineLevel="0" collapsed="false">
      <c r="A213" s="12" t="s">
        <v>738</v>
      </c>
      <c r="B213" s="12" t="s">
        <v>568</v>
      </c>
      <c r="C213" s="12" t="s">
        <v>739</v>
      </c>
      <c r="D213" s="12" t="n">
        <v>91</v>
      </c>
      <c r="E213" s="12" t="s">
        <v>358</v>
      </c>
    </row>
    <row r="214" customFormat="false" ht="15" hidden="false" customHeight="false" outlineLevel="0" collapsed="false">
      <c r="A214" s="12" t="s">
        <v>740</v>
      </c>
      <c r="B214" s="12" t="s">
        <v>397</v>
      </c>
      <c r="C214" s="12" t="s">
        <v>741</v>
      </c>
      <c r="D214" s="12" t="n">
        <v>256</v>
      </c>
      <c r="E214" s="12" t="s">
        <v>358</v>
      </c>
    </row>
    <row r="215" customFormat="false" ht="15" hidden="false" customHeight="false" outlineLevel="0" collapsed="false">
      <c r="A215" s="12" t="s">
        <v>742</v>
      </c>
      <c r="B215" s="12" t="s">
        <v>397</v>
      </c>
      <c r="C215" s="12" t="s">
        <v>743</v>
      </c>
      <c r="D215" s="12" t="n">
        <v>687</v>
      </c>
      <c r="E215" s="12" t="s">
        <v>358</v>
      </c>
    </row>
    <row r="216" customFormat="false" ht="15" hidden="false" customHeight="false" outlineLevel="0" collapsed="false">
      <c r="A216" s="12" t="s">
        <v>744</v>
      </c>
      <c r="B216" s="12" t="s">
        <v>745</v>
      </c>
      <c r="C216" s="12" t="s">
        <v>746</v>
      </c>
      <c r="D216" s="12" t="n">
        <v>13</v>
      </c>
      <c r="E216" s="12" t="s">
        <v>358</v>
      </c>
    </row>
    <row r="217" customFormat="false" ht="15" hidden="false" customHeight="false" outlineLevel="0" collapsed="false">
      <c r="A217" s="12" t="s">
        <v>747</v>
      </c>
      <c r="B217" s="12" t="s">
        <v>400</v>
      </c>
      <c r="C217" s="12" t="s">
        <v>748</v>
      </c>
      <c r="D217" s="12" t="n">
        <v>62</v>
      </c>
      <c r="E217" s="12" t="s">
        <v>358</v>
      </c>
    </row>
    <row r="218" customFormat="false" ht="15" hidden="false" customHeight="false" outlineLevel="0" collapsed="false">
      <c r="A218" s="12" t="s">
        <v>749</v>
      </c>
      <c r="B218" s="12" t="s">
        <v>397</v>
      </c>
      <c r="C218" s="12" t="s">
        <v>750</v>
      </c>
      <c r="D218" s="12" t="n">
        <v>423</v>
      </c>
      <c r="E218" s="12" t="s">
        <v>358</v>
      </c>
    </row>
    <row r="219" customFormat="false" ht="15" hidden="false" customHeight="false" outlineLevel="0" collapsed="false">
      <c r="A219" s="12" t="s">
        <v>751</v>
      </c>
      <c r="B219" s="12"/>
      <c r="C219" s="12" t="s">
        <v>752</v>
      </c>
      <c r="D219" s="12"/>
      <c r="E219" s="12" t="s">
        <v>358</v>
      </c>
    </row>
    <row r="220" customFormat="false" ht="15" hidden="false" customHeight="false" outlineLevel="0" collapsed="false">
      <c r="A220" s="12" t="s">
        <v>753</v>
      </c>
      <c r="B220" s="12" t="s">
        <v>369</v>
      </c>
      <c r="C220" s="12" t="s">
        <v>754</v>
      </c>
      <c r="D220" s="12" t="n">
        <v>17</v>
      </c>
      <c r="E220" s="12" t="s">
        <v>358</v>
      </c>
    </row>
    <row r="221" customFormat="false" ht="15" hidden="false" customHeight="false" outlineLevel="0" collapsed="false">
      <c r="A221" s="12" t="s">
        <v>755</v>
      </c>
      <c r="B221" s="12" t="s">
        <v>369</v>
      </c>
      <c r="C221" s="12" t="s">
        <v>756</v>
      </c>
      <c r="D221" s="12" t="n">
        <v>362</v>
      </c>
      <c r="E221" s="12" t="s">
        <v>358</v>
      </c>
    </row>
    <row r="222" customFormat="false" ht="15" hidden="false" customHeight="false" outlineLevel="0" collapsed="false">
      <c r="A222" s="12" t="s">
        <v>757</v>
      </c>
      <c r="B222" s="12" t="s">
        <v>758</v>
      </c>
      <c r="C222" s="12" t="s">
        <v>759</v>
      </c>
      <c r="D222" s="12" t="n">
        <v>74</v>
      </c>
      <c r="E222" s="12" t="s">
        <v>358</v>
      </c>
    </row>
    <row r="223" customFormat="false" ht="15" hidden="false" customHeight="false" outlineLevel="0" collapsed="false">
      <c r="A223" s="12" t="s">
        <v>760</v>
      </c>
      <c r="B223" s="12" t="s">
        <v>761</v>
      </c>
      <c r="C223" s="12" t="s">
        <v>762</v>
      </c>
      <c r="D223" s="12" t="n">
        <v>1</v>
      </c>
      <c r="E223" s="12" t="s">
        <v>358</v>
      </c>
    </row>
    <row r="224" customFormat="false" ht="15" hidden="false" customHeight="false" outlineLevel="0" collapsed="false">
      <c r="A224" s="12" t="s">
        <v>763</v>
      </c>
      <c r="B224" s="12" t="s">
        <v>400</v>
      </c>
      <c r="C224" s="12" t="s">
        <v>764</v>
      </c>
      <c r="D224" s="12" t="n">
        <v>30</v>
      </c>
      <c r="E224" s="12" t="s">
        <v>358</v>
      </c>
    </row>
    <row r="225" customFormat="false" ht="15" hidden="false" customHeight="false" outlineLevel="0" collapsed="false">
      <c r="A225" s="12" t="s">
        <v>765</v>
      </c>
      <c r="B225" s="12" t="s">
        <v>766</v>
      </c>
      <c r="C225" s="12" t="s">
        <v>767</v>
      </c>
      <c r="D225" s="12" t="n">
        <v>332</v>
      </c>
      <c r="E225" s="12" t="s">
        <v>358</v>
      </c>
    </row>
    <row r="226" customFormat="false" ht="15" hidden="false" customHeight="false" outlineLevel="0" collapsed="false">
      <c r="A226" s="12" t="s">
        <v>768</v>
      </c>
      <c r="B226" s="12" t="s">
        <v>369</v>
      </c>
      <c r="C226" s="12" t="s">
        <v>769</v>
      </c>
      <c r="D226" s="12" t="n">
        <v>308</v>
      </c>
      <c r="E226" s="12" t="s">
        <v>358</v>
      </c>
    </row>
    <row r="227" customFormat="false" ht="15" hidden="false" customHeight="false" outlineLevel="0" collapsed="false">
      <c r="A227" s="12" t="s">
        <v>770</v>
      </c>
      <c r="B227" s="12" t="s">
        <v>771</v>
      </c>
      <c r="C227" s="12" t="s">
        <v>772</v>
      </c>
      <c r="D227" s="12" t="n">
        <v>17</v>
      </c>
      <c r="E227" s="12" t="s">
        <v>358</v>
      </c>
    </row>
    <row r="228" customFormat="false" ht="15" hidden="false" customHeight="false" outlineLevel="0" collapsed="false">
      <c r="A228" s="12" t="s">
        <v>773</v>
      </c>
      <c r="B228" s="12" t="s">
        <v>568</v>
      </c>
      <c r="C228" s="12" t="s">
        <v>774</v>
      </c>
      <c r="D228" s="12" t="n">
        <v>8</v>
      </c>
      <c r="E228" s="12" t="s">
        <v>358</v>
      </c>
    </row>
    <row r="229" customFormat="false" ht="15" hidden="false" customHeight="false" outlineLevel="0" collapsed="false">
      <c r="A229" s="12" t="s">
        <v>775</v>
      </c>
      <c r="B229" s="12" t="s">
        <v>397</v>
      </c>
      <c r="C229" s="12" t="s">
        <v>776</v>
      </c>
      <c r="D229" s="12" t="n">
        <v>242</v>
      </c>
      <c r="E229" s="12" t="s">
        <v>358</v>
      </c>
    </row>
    <row r="230" customFormat="false" ht="15" hidden="false" customHeight="false" outlineLevel="0" collapsed="false">
      <c r="A230" s="12" t="s">
        <v>777</v>
      </c>
      <c r="B230" s="12" t="s">
        <v>778</v>
      </c>
      <c r="C230" s="12" t="s">
        <v>779</v>
      </c>
      <c r="D230" s="12" t="n">
        <v>2</v>
      </c>
      <c r="E230" s="12" t="s">
        <v>358</v>
      </c>
    </row>
    <row r="231" customFormat="false" ht="15" hidden="false" customHeight="false" outlineLevel="0" collapsed="false">
      <c r="A231" s="12" t="s">
        <v>780</v>
      </c>
      <c r="B231" s="12" t="s">
        <v>781</v>
      </c>
      <c r="C231" s="12" t="s">
        <v>782</v>
      </c>
      <c r="D231" s="12" t="n">
        <v>86</v>
      </c>
      <c r="E231" s="12" t="s">
        <v>358</v>
      </c>
    </row>
    <row r="232" customFormat="false" ht="15" hidden="false" customHeight="false" outlineLevel="0" collapsed="false">
      <c r="A232" s="12" t="s">
        <v>783</v>
      </c>
      <c r="B232" s="12" t="s">
        <v>784</v>
      </c>
      <c r="C232" s="12" t="s">
        <v>785</v>
      </c>
      <c r="D232" s="12" t="n">
        <v>62</v>
      </c>
      <c r="E232" s="12" t="s">
        <v>358</v>
      </c>
    </row>
    <row r="233" customFormat="false" ht="15" hidden="false" customHeight="false" outlineLevel="0" collapsed="false">
      <c r="A233" s="12" t="s">
        <v>786</v>
      </c>
      <c r="B233" s="12" t="s">
        <v>397</v>
      </c>
      <c r="C233" s="12" t="s">
        <v>787</v>
      </c>
      <c r="D233" s="12" t="n">
        <v>54</v>
      </c>
      <c r="E233" s="12" t="s">
        <v>358</v>
      </c>
    </row>
    <row r="234" customFormat="false" ht="15" hidden="false" customHeight="false" outlineLevel="0" collapsed="false">
      <c r="A234" s="12" t="s">
        <v>788</v>
      </c>
      <c r="B234" s="12" t="s">
        <v>397</v>
      </c>
      <c r="C234" s="12" t="s">
        <v>789</v>
      </c>
      <c r="D234" s="12" t="n">
        <v>364</v>
      </c>
      <c r="E234" s="12" t="s">
        <v>358</v>
      </c>
    </row>
    <row r="235" customFormat="false" ht="15" hidden="false" customHeight="false" outlineLevel="0" collapsed="false">
      <c r="A235" s="12" t="s">
        <v>790</v>
      </c>
      <c r="B235" s="12" t="s">
        <v>369</v>
      </c>
      <c r="C235" s="12" t="s">
        <v>791</v>
      </c>
      <c r="D235" s="12" t="n">
        <v>193</v>
      </c>
      <c r="E235" s="12" t="s">
        <v>358</v>
      </c>
    </row>
    <row r="236" customFormat="false" ht="15" hidden="false" customHeight="false" outlineLevel="0" collapsed="false">
      <c r="A236" s="12" t="s">
        <v>792</v>
      </c>
      <c r="B236" s="12" t="s">
        <v>369</v>
      </c>
      <c r="C236" s="12" t="s">
        <v>793</v>
      </c>
      <c r="D236" s="12" t="n">
        <v>49</v>
      </c>
      <c r="E236" s="12" t="s">
        <v>358</v>
      </c>
    </row>
    <row r="237" customFormat="false" ht="15" hidden="false" customHeight="false" outlineLevel="0" collapsed="false">
      <c r="A237" s="12" t="s">
        <v>794</v>
      </c>
      <c r="B237" s="12" t="s">
        <v>795</v>
      </c>
      <c r="C237" s="12" t="s">
        <v>796</v>
      </c>
      <c r="D237" s="12" t="n">
        <v>82</v>
      </c>
      <c r="E237" s="12" t="s">
        <v>358</v>
      </c>
    </row>
    <row r="238" customFormat="false" ht="15" hidden="false" customHeight="false" outlineLevel="0" collapsed="false">
      <c r="A238" s="12" t="s">
        <v>797</v>
      </c>
      <c r="B238" s="12" t="s">
        <v>369</v>
      </c>
      <c r="C238" s="12" t="s">
        <v>798</v>
      </c>
      <c r="D238" s="12" t="n">
        <v>431</v>
      </c>
      <c r="E238" s="12" t="s">
        <v>358</v>
      </c>
    </row>
    <row r="239" customFormat="false" ht="15" hidden="false" customHeight="false" outlineLevel="0" collapsed="false">
      <c r="A239" s="12" t="s">
        <v>799</v>
      </c>
      <c r="B239" s="12" t="s">
        <v>397</v>
      </c>
      <c r="C239" s="12" t="s">
        <v>800</v>
      </c>
      <c r="D239" s="12" t="n">
        <v>257</v>
      </c>
      <c r="E239" s="12" t="s">
        <v>358</v>
      </c>
    </row>
    <row r="240" customFormat="false" ht="15" hidden="false" customHeight="false" outlineLevel="0" collapsed="false">
      <c r="A240" s="12" t="s">
        <v>801</v>
      </c>
      <c r="B240" s="12" t="s">
        <v>369</v>
      </c>
      <c r="C240" s="12" t="s">
        <v>802</v>
      </c>
      <c r="D240" s="12" t="n">
        <v>60</v>
      </c>
      <c r="E240" s="12" t="s">
        <v>358</v>
      </c>
    </row>
    <row r="241" customFormat="false" ht="15" hidden="false" customHeight="false" outlineLevel="0" collapsed="false">
      <c r="A241" s="12" t="s">
        <v>803</v>
      </c>
      <c r="B241" s="12" t="s">
        <v>560</v>
      </c>
      <c r="C241" s="12" t="s">
        <v>804</v>
      </c>
      <c r="D241" s="12" t="n">
        <v>1</v>
      </c>
      <c r="E241" s="12" t="s">
        <v>339</v>
      </c>
    </row>
    <row r="242" customFormat="false" ht="15" hidden="false" customHeight="false" outlineLevel="0" collapsed="false">
      <c r="A242" s="12" t="s">
        <v>805</v>
      </c>
      <c r="B242" s="12" t="s">
        <v>560</v>
      </c>
      <c r="C242" s="12" t="s">
        <v>806</v>
      </c>
      <c r="D242" s="12" t="n">
        <v>1</v>
      </c>
      <c r="E242" s="12" t="s">
        <v>339</v>
      </c>
    </row>
    <row r="243" customFormat="false" ht="15" hidden="false" customHeight="false" outlineLevel="0" collapsed="false">
      <c r="A243" s="12" t="s">
        <v>807</v>
      </c>
      <c r="B243" s="12" t="s">
        <v>400</v>
      </c>
      <c r="C243" s="12" t="s">
        <v>808</v>
      </c>
      <c r="D243" s="12" t="n">
        <v>1</v>
      </c>
      <c r="E243" s="12" t="s">
        <v>493</v>
      </c>
    </row>
    <row r="244" customFormat="false" ht="15" hidden="false" customHeight="false" outlineLevel="0" collapsed="false">
      <c r="A244" s="12" t="s">
        <v>809</v>
      </c>
      <c r="B244" s="12" t="s">
        <v>513</v>
      </c>
      <c r="C244" s="12" t="s">
        <v>810</v>
      </c>
      <c r="D244" s="12" t="n">
        <v>9</v>
      </c>
      <c r="E244" s="12" t="s">
        <v>493</v>
      </c>
    </row>
    <row r="245" customFormat="false" ht="15" hidden="false" customHeight="false" outlineLevel="0" collapsed="false">
      <c r="A245" s="12" t="s">
        <v>811</v>
      </c>
      <c r="B245" s="12" t="s">
        <v>560</v>
      </c>
      <c r="C245" s="12"/>
      <c r="D245" s="12" t="n">
        <v>2</v>
      </c>
      <c r="E245" s="12" t="s">
        <v>339</v>
      </c>
    </row>
    <row r="246" customFormat="false" ht="15" hidden="false" customHeight="false" outlineLevel="0" collapsed="false">
      <c r="A246" s="12" t="s">
        <v>812</v>
      </c>
      <c r="B246" s="12" t="s">
        <v>341</v>
      </c>
      <c r="C246" s="12" t="s">
        <v>813</v>
      </c>
      <c r="D246" s="12" t="n">
        <v>7</v>
      </c>
      <c r="E246" s="12" t="s">
        <v>339</v>
      </c>
    </row>
    <row r="247" customFormat="false" ht="15" hidden="false" customHeight="false" outlineLevel="0" collapsed="false">
      <c r="A247" s="12" t="s">
        <v>812</v>
      </c>
      <c r="B247" s="12" t="s">
        <v>341</v>
      </c>
      <c r="C247" s="12" t="s">
        <v>814</v>
      </c>
      <c r="D247" s="12" t="n">
        <v>7</v>
      </c>
      <c r="E247" s="12" t="s">
        <v>339</v>
      </c>
    </row>
    <row r="248" customFormat="false" ht="15" hidden="false" customHeight="false" outlineLevel="0" collapsed="false">
      <c r="A248" s="12" t="s">
        <v>815</v>
      </c>
      <c r="B248" s="12" t="s">
        <v>816</v>
      </c>
      <c r="C248" s="12" t="s">
        <v>817</v>
      </c>
      <c r="D248" s="12" t="n">
        <v>156</v>
      </c>
      <c r="E248" s="12" t="s">
        <v>358</v>
      </c>
    </row>
    <row r="249" customFormat="false" ht="15" hidden="false" customHeight="false" outlineLevel="0" collapsed="false">
      <c r="A249" s="12" t="s">
        <v>818</v>
      </c>
      <c r="B249" s="12" t="s">
        <v>397</v>
      </c>
      <c r="C249" s="12" t="s">
        <v>819</v>
      </c>
      <c r="D249" s="12" t="n">
        <v>194</v>
      </c>
      <c r="E249" s="12" t="s">
        <v>358</v>
      </c>
    </row>
    <row r="250" customFormat="false" ht="15" hidden="false" customHeight="false" outlineLevel="0" collapsed="false">
      <c r="A250" s="12" t="s">
        <v>820</v>
      </c>
      <c r="B250" s="12" t="s">
        <v>821</v>
      </c>
      <c r="C250" s="12" t="s">
        <v>822</v>
      </c>
      <c r="D250" s="12" t="n">
        <v>38</v>
      </c>
      <c r="E250" s="12" t="s">
        <v>358</v>
      </c>
    </row>
    <row r="251" customFormat="false" ht="15" hidden="false" customHeight="false" outlineLevel="0" collapsed="false">
      <c r="A251" s="12" t="s">
        <v>823</v>
      </c>
      <c r="B251" s="12" t="s">
        <v>397</v>
      </c>
      <c r="C251" s="12" t="s">
        <v>824</v>
      </c>
      <c r="D251" s="12" t="n">
        <v>155</v>
      </c>
      <c r="E251" s="12" t="s">
        <v>358</v>
      </c>
    </row>
    <row r="252" customFormat="false" ht="15" hidden="false" customHeight="false" outlineLevel="0" collapsed="false">
      <c r="A252" s="12" t="s">
        <v>825</v>
      </c>
      <c r="B252" s="12" t="s">
        <v>397</v>
      </c>
      <c r="C252" s="12" t="s">
        <v>826</v>
      </c>
      <c r="D252" s="12" t="n">
        <v>269</v>
      </c>
      <c r="E252" s="12" t="s">
        <v>358</v>
      </c>
    </row>
    <row r="253" customFormat="false" ht="15" hidden="false" customHeight="false" outlineLevel="0" collapsed="false">
      <c r="A253" s="12" t="s">
        <v>827</v>
      </c>
      <c r="B253" s="12" t="s">
        <v>828</v>
      </c>
      <c r="C253" s="12" t="s">
        <v>829</v>
      </c>
      <c r="D253" s="12" t="n">
        <v>1409</v>
      </c>
      <c r="E253" s="12" t="s">
        <v>358</v>
      </c>
    </row>
    <row r="254" customFormat="false" ht="15" hidden="false" customHeight="false" outlineLevel="0" collapsed="false">
      <c r="A254" s="12" t="s">
        <v>830</v>
      </c>
      <c r="B254" s="12" t="s">
        <v>831</v>
      </c>
      <c r="C254" s="12" t="s">
        <v>832</v>
      </c>
      <c r="D254" s="12" t="n">
        <v>1</v>
      </c>
      <c r="E254" s="12" t="s">
        <v>358</v>
      </c>
    </row>
    <row r="255" customFormat="false" ht="15" hidden="false" customHeight="false" outlineLevel="0" collapsed="false">
      <c r="A255" s="12" t="s">
        <v>833</v>
      </c>
      <c r="B255" s="12" t="s">
        <v>369</v>
      </c>
      <c r="C255" s="12" t="s">
        <v>834</v>
      </c>
      <c r="D255" s="12" t="n">
        <v>227</v>
      </c>
      <c r="E255" s="12" t="s">
        <v>358</v>
      </c>
    </row>
    <row r="256" customFormat="false" ht="15" hidden="false" customHeight="false" outlineLevel="0" collapsed="false">
      <c r="A256" s="12" t="s">
        <v>835</v>
      </c>
      <c r="B256" s="12" t="s">
        <v>369</v>
      </c>
      <c r="C256" s="12" t="s">
        <v>836</v>
      </c>
      <c r="D256" s="12" t="n">
        <v>189</v>
      </c>
      <c r="E256" s="12" t="s">
        <v>358</v>
      </c>
    </row>
    <row r="257" customFormat="false" ht="15" hidden="false" customHeight="false" outlineLevel="0" collapsed="false">
      <c r="A257" s="12" t="s">
        <v>837</v>
      </c>
      <c r="B257" s="12" t="s">
        <v>369</v>
      </c>
      <c r="C257" s="12" t="s">
        <v>838</v>
      </c>
      <c r="D257" s="12" t="n">
        <v>243</v>
      </c>
      <c r="E257" s="12" t="s">
        <v>358</v>
      </c>
    </row>
    <row r="258" customFormat="false" ht="15" hidden="false" customHeight="false" outlineLevel="0" collapsed="false">
      <c r="A258" s="12" t="s">
        <v>839</v>
      </c>
      <c r="B258" s="12" t="s">
        <v>840</v>
      </c>
      <c r="C258" s="12" t="s">
        <v>841</v>
      </c>
      <c r="D258" s="12" t="n">
        <v>53</v>
      </c>
      <c r="E258" s="12" t="s">
        <v>358</v>
      </c>
    </row>
    <row r="259" customFormat="false" ht="15" hidden="false" customHeight="false" outlineLevel="0" collapsed="false">
      <c r="A259" s="12" t="s">
        <v>842</v>
      </c>
      <c r="B259" s="12" t="s">
        <v>369</v>
      </c>
      <c r="C259" s="12" t="s">
        <v>843</v>
      </c>
      <c r="D259" s="12" t="n">
        <v>223</v>
      </c>
      <c r="E259" s="12" t="s">
        <v>358</v>
      </c>
    </row>
    <row r="260" customFormat="false" ht="15" hidden="false" customHeight="false" outlineLevel="0" collapsed="false">
      <c r="A260" s="12" t="s">
        <v>844</v>
      </c>
      <c r="B260" s="12" t="s">
        <v>369</v>
      </c>
      <c r="C260" s="12" t="s">
        <v>845</v>
      </c>
      <c r="D260" s="12" t="n">
        <v>23</v>
      </c>
      <c r="E260" s="12" t="s">
        <v>358</v>
      </c>
    </row>
    <row r="261" customFormat="false" ht="15" hidden="false" customHeight="false" outlineLevel="0" collapsed="false">
      <c r="A261" s="12" t="s">
        <v>846</v>
      </c>
      <c r="B261" s="12" t="s">
        <v>369</v>
      </c>
      <c r="C261" s="12" t="s">
        <v>847</v>
      </c>
      <c r="D261" s="12" t="n">
        <v>239</v>
      </c>
      <c r="E261" s="12" t="s">
        <v>358</v>
      </c>
    </row>
    <row r="262" customFormat="false" ht="15" hidden="false" customHeight="false" outlineLevel="0" collapsed="false">
      <c r="A262" s="12" t="s">
        <v>848</v>
      </c>
      <c r="B262" s="12" t="s">
        <v>849</v>
      </c>
      <c r="C262" s="12" t="s">
        <v>850</v>
      </c>
      <c r="D262" s="12" t="n">
        <v>3958</v>
      </c>
      <c r="E262" s="12" t="s">
        <v>358</v>
      </c>
    </row>
    <row r="263" customFormat="false" ht="15" hidden="false" customHeight="false" outlineLevel="0" collapsed="false">
      <c r="A263" s="12" t="s">
        <v>851</v>
      </c>
      <c r="B263" s="12" t="s">
        <v>555</v>
      </c>
      <c r="C263" s="12"/>
      <c r="D263" s="12"/>
      <c r="E263" s="12" t="s">
        <v>339</v>
      </c>
    </row>
    <row r="264" customFormat="false" ht="15" hidden="false" customHeight="false" outlineLevel="0" collapsed="false">
      <c r="A264" s="12" t="s">
        <v>852</v>
      </c>
      <c r="B264" s="12" t="s">
        <v>853</v>
      </c>
      <c r="C264" s="12" t="s">
        <v>854</v>
      </c>
      <c r="D264" s="12" t="n">
        <v>514</v>
      </c>
      <c r="E264" s="12" t="s">
        <v>358</v>
      </c>
    </row>
    <row r="265" customFormat="false" ht="15" hidden="false" customHeight="false" outlineLevel="0" collapsed="false">
      <c r="A265" s="12" t="s">
        <v>855</v>
      </c>
      <c r="B265" s="12" t="s">
        <v>400</v>
      </c>
      <c r="C265" s="12" t="s">
        <v>856</v>
      </c>
      <c r="D265" s="12" t="n">
        <v>9</v>
      </c>
      <c r="E265" s="12" t="s">
        <v>358</v>
      </c>
    </row>
    <row r="266" customFormat="false" ht="15" hidden="false" customHeight="false" outlineLevel="0" collapsed="false">
      <c r="A266" s="12" t="s">
        <v>857</v>
      </c>
      <c r="B266" s="12" t="s">
        <v>397</v>
      </c>
      <c r="C266" s="12" t="s">
        <v>858</v>
      </c>
      <c r="D266" s="12" t="n">
        <v>159</v>
      </c>
      <c r="E266" s="12" t="s">
        <v>358</v>
      </c>
    </row>
    <row r="267" customFormat="false" ht="15" hidden="false" customHeight="false" outlineLevel="0" collapsed="false">
      <c r="A267" s="12" t="s">
        <v>859</v>
      </c>
      <c r="B267" s="12" t="s">
        <v>860</v>
      </c>
      <c r="C267" s="12" t="s">
        <v>861</v>
      </c>
      <c r="D267" s="12" t="n">
        <v>25</v>
      </c>
      <c r="E267" s="12" t="s">
        <v>358</v>
      </c>
    </row>
    <row r="268" customFormat="false" ht="15" hidden="false" customHeight="false" outlineLevel="0" collapsed="false">
      <c r="A268" s="12" t="s">
        <v>862</v>
      </c>
      <c r="B268" s="12" t="s">
        <v>863</v>
      </c>
      <c r="C268" s="12" t="s">
        <v>864</v>
      </c>
      <c r="D268" s="12" t="n">
        <v>98</v>
      </c>
      <c r="E268" s="12" t="s">
        <v>358</v>
      </c>
    </row>
    <row r="269" customFormat="false" ht="15" hidden="false" customHeight="false" outlineLevel="0" collapsed="false">
      <c r="A269" s="12" t="s">
        <v>865</v>
      </c>
      <c r="B269" s="12" t="s">
        <v>397</v>
      </c>
      <c r="C269" s="12" t="s">
        <v>866</v>
      </c>
      <c r="D269" s="12" t="n">
        <v>120</v>
      </c>
      <c r="E269" s="12" t="s">
        <v>358</v>
      </c>
    </row>
    <row r="270" customFormat="false" ht="15" hidden="false" customHeight="false" outlineLevel="0" collapsed="false">
      <c r="A270" s="12" t="s">
        <v>867</v>
      </c>
      <c r="B270" s="12" t="s">
        <v>860</v>
      </c>
      <c r="C270" s="12" t="s">
        <v>868</v>
      </c>
      <c r="D270" s="12" t="n">
        <v>52</v>
      </c>
      <c r="E270" s="12" t="s">
        <v>358</v>
      </c>
    </row>
    <row r="271" customFormat="false" ht="15" hidden="false" customHeight="false" outlineLevel="0" collapsed="false">
      <c r="A271" s="12" t="s">
        <v>869</v>
      </c>
      <c r="B271" s="12" t="s">
        <v>369</v>
      </c>
      <c r="C271" s="12" t="s">
        <v>870</v>
      </c>
      <c r="D271" s="12" t="n">
        <v>21</v>
      </c>
      <c r="E271" s="12" t="s">
        <v>358</v>
      </c>
    </row>
    <row r="272" customFormat="false" ht="15" hidden="false" customHeight="false" outlineLevel="0" collapsed="false">
      <c r="A272" s="12" t="s">
        <v>871</v>
      </c>
      <c r="B272" s="12" t="s">
        <v>390</v>
      </c>
      <c r="C272" s="12"/>
      <c r="D272" s="12" t="n">
        <v>14</v>
      </c>
      <c r="E272" s="12" t="s">
        <v>358</v>
      </c>
    </row>
    <row r="273" customFormat="false" ht="15" hidden="false" customHeight="false" outlineLevel="0" collapsed="false">
      <c r="A273" s="12" t="s">
        <v>872</v>
      </c>
      <c r="B273" s="12" t="s">
        <v>369</v>
      </c>
      <c r="C273" s="12" t="s">
        <v>873</v>
      </c>
      <c r="D273" s="12" t="n">
        <v>180</v>
      </c>
      <c r="E273" s="12" t="s">
        <v>358</v>
      </c>
    </row>
    <row r="274" customFormat="false" ht="15" hidden="false" customHeight="false" outlineLevel="0" collapsed="false">
      <c r="A274" s="12" t="s">
        <v>874</v>
      </c>
      <c r="B274" s="12" t="s">
        <v>875</v>
      </c>
      <c r="C274" s="12" t="s">
        <v>876</v>
      </c>
      <c r="D274" s="12"/>
      <c r="E274" s="12" t="s">
        <v>358</v>
      </c>
    </row>
    <row r="275" customFormat="false" ht="15" hidden="false" customHeight="false" outlineLevel="0" collapsed="false">
      <c r="A275" s="12" t="s">
        <v>877</v>
      </c>
      <c r="B275" s="12" t="s">
        <v>878</v>
      </c>
      <c r="C275" s="12" t="s">
        <v>879</v>
      </c>
      <c r="D275" s="12" t="n">
        <v>47</v>
      </c>
      <c r="E275" s="12" t="s">
        <v>358</v>
      </c>
    </row>
    <row r="276" customFormat="false" ht="15" hidden="false" customHeight="false" outlineLevel="0" collapsed="false">
      <c r="A276" s="12" t="s">
        <v>880</v>
      </c>
      <c r="B276" s="12" t="s">
        <v>369</v>
      </c>
      <c r="C276" s="12" t="s">
        <v>881</v>
      </c>
      <c r="D276" s="12" t="n">
        <v>396</v>
      </c>
      <c r="E276" s="12" t="s">
        <v>358</v>
      </c>
    </row>
    <row r="277" customFormat="false" ht="15" hidden="false" customHeight="false" outlineLevel="0" collapsed="false">
      <c r="A277" s="12" t="s">
        <v>882</v>
      </c>
      <c r="B277" s="12" t="s">
        <v>50</v>
      </c>
      <c r="C277" s="12"/>
      <c r="D277" s="12"/>
      <c r="E277" s="12" t="s">
        <v>339</v>
      </c>
    </row>
    <row r="278" customFormat="false" ht="15" hidden="false" customHeight="false" outlineLevel="0" collapsed="false">
      <c r="A278" s="12" t="s">
        <v>883</v>
      </c>
      <c r="B278" s="12" t="s">
        <v>43</v>
      </c>
      <c r="C278" s="12"/>
      <c r="D278" s="12"/>
      <c r="E278" s="12" t="s">
        <v>493</v>
      </c>
    </row>
    <row r="279" customFormat="false" ht="15" hidden="false" customHeight="false" outlineLevel="0" collapsed="false">
      <c r="A279" s="12" t="s">
        <v>884</v>
      </c>
      <c r="B279" s="12" t="s">
        <v>43</v>
      </c>
      <c r="C279" s="12"/>
      <c r="D279" s="12"/>
      <c r="E279" s="12" t="s">
        <v>493</v>
      </c>
    </row>
    <row r="280" customFormat="false" ht="15" hidden="false" customHeight="false" outlineLevel="0" collapsed="false">
      <c r="A280" s="12" t="s">
        <v>885</v>
      </c>
      <c r="B280" s="12" t="s">
        <v>50</v>
      </c>
      <c r="C280" s="12"/>
      <c r="D280" s="12"/>
      <c r="E280" s="12" t="s">
        <v>339</v>
      </c>
    </row>
    <row r="281" customFormat="false" ht="15" hidden="false" customHeight="false" outlineLevel="0" collapsed="false">
      <c r="A281" s="12" t="s">
        <v>886</v>
      </c>
      <c r="B281" s="12" t="s">
        <v>887</v>
      </c>
      <c r="C281" s="12"/>
      <c r="D281" s="12"/>
      <c r="E281" s="12" t="s">
        <v>339</v>
      </c>
    </row>
    <row r="282" customFormat="false" ht="15" hidden="false" customHeight="false" outlineLevel="0" collapsed="false">
      <c r="A282" s="12" t="s">
        <v>888</v>
      </c>
      <c r="B282" s="12"/>
      <c r="C282" s="12"/>
      <c r="D282" s="12"/>
      <c r="E282" s="12" t="s">
        <v>358</v>
      </c>
    </row>
    <row r="283" customFormat="false" ht="15" hidden="false" customHeight="false" outlineLevel="0" collapsed="false">
      <c r="A283" s="12" t="s">
        <v>889</v>
      </c>
      <c r="B283" s="12" t="s">
        <v>733</v>
      </c>
      <c r="C283" s="12" t="s">
        <v>890</v>
      </c>
      <c r="D283" s="12" t="n">
        <v>2208</v>
      </c>
      <c r="E283" s="12" t="s">
        <v>358</v>
      </c>
    </row>
    <row r="284" customFormat="false" ht="15" hidden="false" customHeight="false" outlineLevel="0" collapsed="false">
      <c r="A284" s="12" t="s">
        <v>891</v>
      </c>
      <c r="B284" s="12" t="s">
        <v>341</v>
      </c>
      <c r="C284" s="12"/>
      <c r="D284" s="12"/>
      <c r="E284" s="12" t="s">
        <v>493</v>
      </c>
    </row>
    <row r="285" customFormat="false" ht="15" hidden="false" customHeight="false" outlineLevel="0" collapsed="false">
      <c r="A285" s="12" t="s">
        <v>892</v>
      </c>
      <c r="B285" s="12" t="s">
        <v>43</v>
      </c>
      <c r="C285" s="12"/>
      <c r="D285" s="12" t="n">
        <v>8</v>
      </c>
      <c r="E285" s="12" t="s">
        <v>493</v>
      </c>
    </row>
    <row r="286" customFormat="false" ht="15" hidden="false" customHeight="false" outlineLevel="0" collapsed="false">
      <c r="A286" s="12" t="s">
        <v>893</v>
      </c>
      <c r="B286" s="12" t="s">
        <v>595</v>
      </c>
      <c r="C286" s="12" t="s">
        <v>894</v>
      </c>
      <c r="D286" s="12" t="n">
        <v>8</v>
      </c>
      <c r="E286" s="12" t="s">
        <v>339</v>
      </c>
    </row>
    <row r="287" customFormat="false" ht="15" hidden="false" customHeight="false" outlineLevel="0" collapsed="false">
      <c r="A287" s="12" t="s">
        <v>895</v>
      </c>
      <c r="B287" s="12" t="s">
        <v>369</v>
      </c>
      <c r="C287" s="12" t="s">
        <v>896</v>
      </c>
      <c r="D287" s="12" t="n">
        <v>226</v>
      </c>
      <c r="E287" s="12" t="s">
        <v>358</v>
      </c>
    </row>
    <row r="288" customFormat="false" ht="15" hidden="false" customHeight="false" outlineLevel="0" collapsed="false">
      <c r="A288" s="12" t="s">
        <v>897</v>
      </c>
      <c r="B288" s="12" t="s">
        <v>898</v>
      </c>
      <c r="C288" s="12" t="s">
        <v>899</v>
      </c>
      <c r="D288" s="12" t="n">
        <v>541</v>
      </c>
      <c r="E288" s="12" t="s">
        <v>358</v>
      </c>
    </row>
    <row r="289" customFormat="false" ht="15" hidden="false" customHeight="false" outlineLevel="0" collapsed="false">
      <c r="A289" s="12" t="s">
        <v>900</v>
      </c>
      <c r="B289" s="12" t="s">
        <v>369</v>
      </c>
      <c r="C289" s="12" t="s">
        <v>901</v>
      </c>
      <c r="D289" s="12" t="n">
        <v>203</v>
      </c>
      <c r="E289" s="12" t="s">
        <v>358</v>
      </c>
    </row>
    <row r="290" customFormat="false" ht="15" hidden="false" customHeight="false" outlineLevel="0" collapsed="false">
      <c r="A290" s="12" t="s">
        <v>902</v>
      </c>
      <c r="B290" s="12" t="s">
        <v>903</v>
      </c>
      <c r="C290" s="12" t="s">
        <v>904</v>
      </c>
      <c r="D290" s="12" t="n">
        <v>33</v>
      </c>
      <c r="E290" s="12" t="s">
        <v>358</v>
      </c>
    </row>
    <row r="291" customFormat="false" ht="15" hidden="false" customHeight="false" outlineLevel="0" collapsed="false">
      <c r="A291" s="12" t="s">
        <v>905</v>
      </c>
      <c r="B291" s="12" t="s">
        <v>43</v>
      </c>
      <c r="C291" s="12" t="s">
        <v>906</v>
      </c>
      <c r="D291" s="12"/>
      <c r="E291" s="12" t="s">
        <v>493</v>
      </c>
    </row>
    <row r="292" customFormat="false" ht="15" hidden="false" customHeight="false" outlineLevel="0" collapsed="false">
      <c r="A292" s="12" t="s">
        <v>907</v>
      </c>
      <c r="B292" s="12" t="s">
        <v>565</v>
      </c>
      <c r="C292" s="12"/>
      <c r="D292" s="12" t="n">
        <v>46</v>
      </c>
      <c r="E292" s="12" t="s">
        <v>339</v>
      </c>
    </row>
    <row r="293" customFormat="false" ht="15" hidden="false" customHeight="false" outlineLevel="0" collapsed="false">
      <c r="A293" s="12" t="s">
        <v>908</v>
      </c>
      <c r="B293" s="12" t="s">
        <v>237</v>
      </c>
      <c r="C293" s="12"/>
      <c r="D293" s="12"/>
      <c r="E293" s="12" t="s">
        <v>493</v>
      </c>
    </row>
    <row r="294" customFormat="false" ht="15" hidden="false" customHeight="false" outlineLevel="0" collapsed="false">
      <c r="A294" s="12" t="s">
        <v>909</v>
      </c>
      <c r="B294" s="12" t="s">
        <v>366</v>
      </c>
      <c r="C294" s="12" t="s">
        <v>910</v>
      </c>
      <c r="D294" s="12" t="n">
        <v>648</v>
      </c>
      <c r="E294" s="12" t="s">
        <v>358</v>
      </c>
    </row>
    <row r="295" customFormat="false" ht="15" hidden="false" customHeight="false" outlineLevel="0" collapsed="false">
      <c r="A295" s="12" t="s">
        <v>911</v>
      </c>
      <c r="B295" s="12" t="s">
        <v>912</v>
      </c>
      <c r="C295" s="12" t="s">
        <v>913</v>
      </c>
      <c r="D295" s="12" t="n">
        <v>407</v>
      </c>
      <c r="E295" s="12" t="s">
        <v>358</v>
      </c>
    </row>
    <row r="296" customFormat="false" ht="15" hidden="false" customHeight="false" outlineLevel="0" collapsed="false">
      <c r="A296" s="12" t="s">
        <v>914</v>
      </c>
      <c r="B296" s="12" t="s">
        <v>50</v>
      </c>
      <c r="C296" s="12"/>
      <c r="D296" s="12" t="n">
        <v>91</v>
      </c>
      <c r="E296" s="12" t="s">
        <v>339</v>
      </c>
    </row>
    <row r="297" customFormat="false" ht="15" hidden="false" customHeight="false" outlineLevel="0" collapsed="false">
      <c r="A297" s="12" t="s">
        <v>915</v>
      </c>
      <c r="B297" s="12" t="s">
        <v>916</v>
      </c>
      <c r="C297" s="12" t="s">
        <v>917</v>
      </c>
      <c r="D297" s="12" t="n">
        <v>179</v>
      </c>
      <c r="E297" s="12" t="s">
        <v>358</v>
      </c>
    </row>
    <row r="298" customFormat="false" ht="15" hidden="false" customHeight="false" outlineLevel="0" collapsed="false">
      <c r="A298" s="12" t="s">
        <v>918</v>
      </c>
      <c r="B298" s="12" t="s">
        <v>390</v>
      </c>
      <c r="C298" s="12" t="s">
        <v>919</v>
      </c>
      <c r="D298" s="12" t="n">
        <v>71</v>
      </c>
      <c r="E298" s="12" t="s">
        <v>358</v>
      </c>
    </row>
    <row r="299" customFormat="false" ht="15" hidden="false" customHeight="false" outlineLevel="0" collapsed="false">
      <c r="A299" s="12" t="s">
        <v>920</v>
      </c>
      <c r="B299" s="12" t="s">
        <v>921</v>
      </c>
      <c r="C299" s="12" t="s">
        <v>922</v>
      </c>
      <c r="D299" s="12" t="n">
        <v>412</v>
      </c>
      <c r="E299" s="12" t="s">
        <v>358</v>
      </c>
    </row>
    <row r="300" customFormat="false" ht="15" hidden="false" customHeight="false" outlineLevel="0" collapsed="false">
      <c r="A300" s="12" t="s">
        <v>923</v>
      </c>
      <c r="B300" s="12" t="s">
        <v>390</v>
      </c>
      <c r="C300" s="12"/>
      <c r="D300" s="12" t="n">
        <v>16</v>
      </c>
      <c r="E300" s="12" t="s">
        <v>358</v>
      </c>
    </row>
    <row r="301" customFormat="false" ht="15" hidden="false" customHeight="false" outlineLevel="0" collapsed="false">
      <c r="A301" s="12" t="s">
        <v>924</v>
      </c>
      <c r="B301" s="12" t="s">
        <v>390</v>
      </c>
      <c r="C301" s="12"/>
      <c r="D301" s="12" t="n">
        <v>14</v>
      </c>
      <c r="E301" s="12" t="s">
        <v>358</v>
      </c>
    </row>
    <row r="302" customFormat="false" ht="15" hidden="false" customHeight="false" outlineLevel="0" collapsed="false">
      <c r="A302" s="12" t="s">
        <v>925</v>
      </c>
      <c r="B302" s="12" t="s">
        <v>390</v>
      </c>
      <c r="C302" s="12" t="s">
        <v>926</v>
      </c>
      <c r="D302" s="12" t="n">
        <v>55</v>
      </c>
      <c r="E302" s="12" t="s">
        <v>358</v>
      </c>
    </row>
    <row r="303" customFormat="false" ht="15" hidden="false" customHeight="false" outlineLevel="0" collapsed="false">
      <c r="A303" s="12" t="s">
        <v>927</v>
      </c>
      <c r="B303" s="12" t="s">
        <v>766</v>
      </c>
      <c r="C303" s="12" t="s">
        <v>928</v>
      </c>
      <c r="D303" s="12" t="n">
        <v>330</v>
      </c>
      <c r="E303" s="12" t="s">
        <v>358</v>
      </c>
    </row>
    <row r="304" customFormat="false" ht="15" hidden="false" customHeight="false" outlineLevel="0" collapsed="false">
      <c r="A304" s="12" t="s">
        <v>929</v>
      </c>
      <c r="B304" s="12" t="s">
        <v>568</v>
      </c>
      <c r="C304" s="12" t="s">
        <v>930</v>
      </c>
      <c r="D304" s="12" t="n">
        <v>162</v>
      </c>
      <c r="E304" s="12" t="s">
        <v>358</v>
      </c>
    </row>
    <row r="305" customFormat="false" ht="15" hidden="false" customHeight="false" outlineLevel="0" collapsed="false">
      <c r="A305" s="12" t="s">
        <v>931</v>
      </c>
      <c r="B305" s="12" t="s">
        <v>932</v>
      </c>
      <c r="C305" s="12" t="s">
        <v>933</v>
      </c>
      <c r="D305" s="12" t="n">
        <v>224</v>
      </c>
      <c r="E305" s="12" t="s">
        <v>358</v>
      </c>
    </row>
    <row r="306" customFormat="false" ht="15" hidden="false" customHeight="false" outlineLevel="0" collapsed="false">
      <c r="A306" s="12" t="s">
        <v>934</v>
      </c>
      <c r="B306" s="12" t="s">
        <v>935</v>
      </c>
      <c r="C306" s="12" t="s">
        <v>936</v>
      </c>
      <c r="D306" s="12" t="n">
        <v>985</v>
      </c>
      <c r="E306" s="12" t="s">
        <v>358</v>
      </c>
    </row>
    <row r="307" customFormat="false" ht="15" hidden="false" customHeight="false" outlineLevel="0" collapsed="false">
      <c r="A307" s="12" t="s">
        <v>937</v>
      </c>
      <c r="B307" s="12" t="s">
        <v>390</v>
      </c>
      <c r="C307" s="12"/>
      <c r="D307" s="12" t="n">
        <v>115</v>
      </c>
      <c r="E307" s="12" t="s">
        <v>358</v>
      </c>
    </row>
    <row r="308" customFormat="false" ht="15" hidden="false" customHeight="false" outlineLevel="0" collapsed="false">
      <c r="A308" s="12" t="s">
        <v>938</v>
      </c>
      <c r="B308" s="12" t="s">
        <v>390</v>
      </c>
      <c r="C308" s="12" t="s">
        <v>939</v>
      </c>
      <c r="D308" s="12" t="n">
        <v>51</v>
      </c>
      <c r="E308" s="12" t="s">
        <v>358</v>
      </c>
    </row>
    <row r="309" customFormat="false" ht="15" hidden="false" customHeight="false" outlineLevel="0" collapsed="false">
      <c r="A309" s="12" t="s">
        <v>940</v>
      </c>
      <c r="B309" s="12" t="s">
        <v>390</v>
      </c>
      <c r="C309" s="12"/>
      <c r="D309" s="12" t="n">
        <v>31</v>
      </c>
      <c r="E309" s="12" t="s">
        <v>358</v>
      </c>
    </row>
    <row r="310" customFormat="false" ht="15" hidden="false" customHeight="false" outlineLevel="0" collapsed="false">
      <c r="A310" s="12" t="s">
        <v>941</v>
      </c>
      <c r="B310" s="12" t="s">
        <v>390</v>
      </c>
      <c r="C310" s="12"/>
      <c r="D310" s="12" t="n">
        <v>23</v>
      </c>
      <c r="E310" s="12" t="s">
        <v>358</v>
      </c>
    </row>
    <row r="311" customFormat="false" ht="15" hidden="false" customHeight="false" outlineLevel="0" collapsed="false">
      <c r="A311" s="12" t="s">
        <v>942</v>
      </c>
      <c r="B311" s="12" t="s">
        <v>407</v>
      </c>
      <c r="C311" s="12" t="s">
        <v>943</v>
      </c>
      <c r="D311" s="12" t="n">
        <v>18</v>
      </c>
      <c r="E311" s="12" t="s">
        <v>358</v>
      </c>
    </row>
    <row r="312" customFormat="false" ht="15" hidden="false" customHeight="false" outlineLevel="0" collapsed="false">
      <c r="A312" s="12" t="s">
        <v>944</v>
      </c>
      <c r="B312" s="12" t="s">
        <v>369</v>
      </c>
      <c r="C312" s="12" t="s">
        <v>945</v>
      </c>
      <c r="D312" s="12" t="n">
        <v>374</v>
      </c>
      <c r="E312" s="12" t="s">
        <v>358</v>
      </c>
    </row>
    <row r="313" customFormat="false" ht="15" hidden="false" customHeight="false" outlineLevel="0" collapsed="false">
      <c r="A313" s="12" t="s">
        <v>946</v>
      </c>
      <c r="B313" s="12" t="s">
        <v>947</v>
      </c>
      <c r="C313" s="12" t="s">
        <v>948</v>
      </c>
      <c r="D313" s="12" t="n">
        <v>17</v>
      </c>
      <c r="E313" s="12" t="s">
        <v>358</v>
      </c>
    </row>
    <row r="314" customFormat="false" ht="15" hidden="false" customHeight="false" outlineLevel="0" collapsed="false">
      <c r="A314" s="12" t="s">
        <v>949</v>
      </c>
      <c r="B314" s="12" t="s">
        <v>647</v>
      </c>
      <c r="C314" s="12" t="s">
        <v>950</v>
      </c>
      <c r="D314" s="12" t="n">
        <v>203</v>
      </c>
      <c r="E314" s="12" t="s">
        <v>358</v>
      </c>
    </row>
    <row r="315" customFormat="false" ht="15" hidden="false" customHeight="false" outlineLevel="0" collapsed="false">
      <c r="A315" s="12" t="s">
        <v>951</v>
      </c>
      <c r="B315" s="12" t="s">
        <v>647</v>
      </c>
      <c r="C315" s="12" t="s">
        <v>952</v>
      </c>
      <c r="D315" s="12" t="n">
        <v>387</v>
      </c>
      <c r="E315" s="12" t="s">
        <v>358</v>
      </c>
    </row>
    <row r="316" customFormat="false" ht="15" hidden="false" customHeight="false" outlineLevel="0" collapsed="false">
      <c r="A316" s="12" t="s">
        <v>953</v>
      </c>
      <c r="B316" s="12" t="s">
        <v>954</v>
      </c>
      <c r="C316" s="12" t="s">
        <v>955</v>
      </c>
      <c r="D316" s="12" t="n">
        <v>397</v>
      </c>
      <c r="E316" s="12" t="s">
        <v>358</v>
      </c>
    </row>
    <row r="317" customFormat="false" ht="15" hidden="false" customHeight="false" outlineLevel="0" collapsed="false">
      <c r="A317" s="12" t="s">
        <v>956</v>
      </c>
      <c r="B317" s="12" t="s">
        <v>647</v>
      </c>
      <c r="C317" s="12" t="s">
        <v>957</v>
      </c>
      <c r="D317" s="12" t="n">
        <v>35</v>
      </c>
      <c r="E317" s="12" t="s">
        <v>358</v>
      </c>
    </row>
    <row r="318" customFormat="false" ht="15" hidden="false" customHeight="false" outlineLevel="0" collapsed="false">
      <c r="A318" s="12" t="s">
        <v>958</v>
      </c>
      <c r="B318" s="12" t="s">
        <v>435</v>
      </c>
      <c r="C318" s="12" t="s">
        <v>959</v>
      </c>
      <c r="D318" s="12" t="n">
        <v>611</v>
      </c>
      <c r="E318" s="12" t="s">
        <v>358</v>
      </c>
    </row>
    <row r="319" customFormat="false" ht="15" hidden="false" customHeight="false" outlineLevel="0" collapsed="false">
      <c r="A319" s="12" t="s">
        <v>960</v>
      </c>
      <c r="B319" s="12" t="s">
        <v>435</v>
      </c>
      <c r="C319" s="12" t="s">
        <v>961</v>
      </c>
      <c r="D319" s="12" t="n">
        <v>509</v>
      </c>
      <c r="E319" s="12" t="s">
        <v>358</v>
      </c>
    </row>
    <row r="320" customFormat="false" ht="15" hidden="false" customHeight="false" outlineLevel="0" collapsed="false">
      <c r="A320" s="12" t="s">
        <v>962</v>
      </c>
      <c r="B320" s="12" t="s">
        <v>916</v>
      </c>
      <c r="C320" s="12" t="s">
        <v>963</v>
      </c>
      <c r="D320" s="12" t="n">
        <v>118</v>
      </c>
      <c r="E320" s="12" t="s">
        <v>358</v>
      </c>
    </row>
    <row r="321" customFormat="false" ht="15" hidden="false" customHeight="false" outlineLevel="0" collapsed="false">
      <c r="A321" s="12" t="s">
        <v>964</v>
      </c>
      <c r="B321" s="12" t="s">
        <v>932</v>
      </c>
      <c r="C321" s="12" t="s">
        <v>965</v>
      </c>
      <c r="D321" s="12" t="n">
        <v>2216</v>
      </c>
      <c r="E321" s="12" t="s">
        <v>358</v>
      </c>
    </row>
    <row r="322" customFormat="false" ht="15" hidden="false" customHeight="false" outlineLevel="0" collapsed="false">
      <c r="A322" s="12" t="s">
        <v>966</v>
      </c>
      <c r="B322" s="12" t="s">
        <v>390</v>
      </c>
      <c r="C322" s="12" t="s">
        <v>967</v>
      </c>
      <c r="D322" s="12" t="n">
        <v>35</v>
      </c>
      <c r="E322" s="12" t="s">
        <v>358</v>
      </c>
    </row>
    <row r="323" customFormat="false" ht="15" hidden="false" customHeight="false" outlineLevel="0" collapsed="false">
      <c r="A323" s="12" t="s">
        <v>968</v>
      </c>
      <c r="B323" s="12" t="s">
        <v>609</v>
      </c>
      <c r="C323" s="12" t="s">
        <v>969</v>
      </c>
      <c r="D323" s="12" t="n">
        <v>291</v>
      </c>
      <c r="E323" s="12" t="s">
        <v>358</v>
      </c>
    </row>
    <row r="324" customFormat="false" ht="15" hidden="false" customHeight="false" outlineLevel="0" collapsed="false">
      <c r="A324" s="12" t="s">
        <v>970</v>
      </c>
      <c r="B324" s="12" t="s">
        <v>390</v>
      </c>
      <c r="C324" s="12" t="s">
        <v>971</v>
      </c>
      <c r="D324" s="12" t="n">
        <v>81</v>
      </c>
      <c r="E324" s="12" t="s">
        <v>358</v>
      </c>
    </row>
    <row r="325" customFormat="false" ht="15" hidden="false" customHeight="false" outlineLevel="0" collapsed="false">
      <c r="A325" s="12" t="s">
        <v>972</v>
      </c>
      <c r="B325" s="12" t="s">
        <v>973</v>
      </c>
      <c r="C325" s="12" t="s">
        <v>974</v>
      </c>
      <c r="D325" s="12" t="n">
        <v>928</v>
      </c>
      <c r="E325" s="12" t="s">
        <v>358</v>
      </c>
    </row>
    <row r="326" customFormat="false" ht="15" hidden="false" customHeight="false" outlineLevel="0" collapsed="false">
      <c r="A326" s="12" t="s">
        <v>975</v>
      </c>
      <c r="B326" s="12" t="s">
        <v>921</v>
      </c>
      <c r="C326" s="12" t="s">
        <v>976</v>
      </c>
      <c r="D326" s="12" t="n">
        <v>650</v>
      </c>
      <c r="E326" s="12" t="s">
        <v>358</v>
      </c>
    </row>
    <row r="327" customFormat="false" ht="15" hidden="false" customHeight="false" outlineLevel="0" collapsed="false">
      <c r="A327" s="12" t="s">
        <v>977</v>
      </c>
      <c r="B327" s="12" t="s">
        <v>390</v>
      </c>
      <c r="C327" s="12" t="s">
        <v>978</v>
      </c>
      <c r="D327" s="12" t="n">
        <v>68</v>
      </c>
      <c r="E327" s="12" t="s">
        <v>358</v>
      </c>
    </row>
    <row r="328" customFormat="false" ht="15" hidden="false" customHeight="false" outlineLevel="0" collapsed="false">
      <c r="A328" s="12" t="s">
        <v>979</v>
      </c>
      <c r="B328" s="12" t="s">
        <v>390</v>
      </c>
      <c r="C328" s="12" t="s">
        <v>980</v>
      </c>
      <c r="D328" s="12" t="n">
        <v>128</v>
      </c>
      <c r="E328" s="12" t="s">
        <v>358</v>
      </c>
    </row>
    <row r="329" customFormat="false" ht="15" hidden="false" customHeight="false" outlineLevel="0" collapsed="false">
      <c r="A329" s="12" t="s">
        <v>981</v>
      </c>
      <c r="B329" s="12" t="s">
        <v>982</v>
      </c>
      <c r="C329" s="12" t="s">
        <v>983</v>
      </c>
      <c r="D329" s="12" t="n">
        <v>86</v>
      </c>
      <c r="E329" s="12" t="s">
        <v>358</v>
      </c>
    </row>
    <row r="330" customFormat="false" ht="15" hidden="false" customHeight="false" outlineLevel="0" collapsed="false">
      <c r="A330" s="12" t="s">
        <v>984</v>
      </c>
      <c r="B330" s="12" t="s">
        <v>985</v>
      </c>
      <c r="C330" s="12" t="s">
        <v>986</v>
      </c>
      <c r="D330" s="12" t="n">
        <v>17</v>
      </c>
      <c r="E330" s="12" t="s">
        <v>358</v>
      </c>
    </row>
    <row r="331" customFormat="false" ht="15" hidden="false" customHeight="false" outlineLevel="0" collapsed="false">
      <c r="A331" s="12" t="s">
        <v>987</v>
      </c>
      <c r="B331" s="12" t="s">
        <v>390</v>
      </c>
      <c r="C331" s="12" t="s">
        <v>988</v>
      </c>
      <c r="D331" s="12" t="n">
        <v>154</v>
      </c>
      <c r="E331" s="12" t="s">
        <v>358</v>
      </c>
    </row>
    <row r="332" customFormat="false" ht="15" hidden="false" customHeight="false" outlineLevel="0" collapsed="false">
      <c r="A332" s="12" t="s">
        <v>989</v>
      </c>
      <c r="B332" s="12" t="s">
        <v>369</v>
      </c>
      <c r="C332" s="12" t="s">
        <v>990</v>
      </c>
      <c r="D332" s="12" t="n">
        <v>301</v>
      </c>
      <c r="E332" s="12" t="s">
        <v>358</v>
      </c>
    </row>
    <row r="333" customFormat="false" ht="15" hidden="false" customHeight="false" outlineLevel="0" collapsed="false">
      <c r="A333" s="12" t="s">
        <v>991</v>
      </c>
      <c r="B333" s="12" t="s">
        <v>390</v>
      </c>
      <c r="C333" s="12" t="s">
        <v>992</v>
      </c>
      <c r="D333" s="12" t="n">
        <v>65</v>
      </c>
      <c r="E333" s="12" t="s">
        <v>358</v>
      </c>
    </row>
    <row r="334" customFormat="false" ht="15" hidden="false" customHeight="false" outlineLevel="0" collapsed="false">
      <c r="A334" s="12" t="s">
        <v>993</v>
      </c>
      <c r="B334" s="12" t="s">
        <v>390</v>
      </c>
      <c r="C334" s="12" t="s">
        <v>994</v>
      </c>
      <c r="D334" s="12" t="n">
        <v>24</v>
      </c>
      <c r="E334" s="12" t="s">
        <v>358</v>
      </c>
    </row>
    <row r="335" customFormat="false" ht="15" hidden="false" customHeight="false" outlineLevel="0" collapsed="false">
      <c r="A335" s="12" t="s">
        <v>995</v>
      </c>
      <c r="B335" s="12" t="s">
        <v>369</v>
      </c>
      <c r="C335" s="12" t="s">
        <v>996</v>
      </c>
      <c r="D335" s="12" t="n">
        <v>92</v>
      </c>
      <c r="E335" s="12" t="s">
        <v>358</v>
      </c>
    </row>
    <row r="336" customFormat="false" ht="15" hidden="false" customHeight="false" outlineLevel="0" collapsed="false">
      <c r="A336" s="12" t="s">
        <v>997</v>
      </c>
      <c r="B336" s="12" t="s">
        <v>821</v>
      </c>
      <c r="C336" s="12"/>
      <c r="D336" s="12" t="n">
        <v>58</v>
      </c>
      <c r="E336" s="12" t="s">
        <v>358</v>
      </c>
    </row>
    <row r="337" customFormat="false" ht="15" hidden="false" customHeight="false" outlineLevel="0" collapsed="false">
      <c r="A337" s="12" t="s">
        <v>998</v>
      </c>
      <c r="B337" s="12" t="s">
        <v>390</v>
      </c>
      <c r="C337" s="12" t="s">
        <v>999</v>
      </c>
      <c r="D337" s="12" t="n">
        <v>37</v>
      </c>
      <c r="E337" s="12" t="s">
        <v>358</v>
      </c>
    </row>
    <row r="338" customFormat="false" ht="15" hidden="false" customHeight="false" outlineLevel="0" collapsed="false">
      <c r="A338" s="12" t="s">
        <v>1000</v>
      </c>
      <c r="B338" s="12" t="s">
        <v>630</v>
      </c>
      <c r="C338" s="12" t="s">
        <v>1001</v>
      </c>
      <c r="D338" s="12" t="n">
        <v>188</v>
      </c>
      <c r="E338" s="12" t="s">
        <v>358</v>
      </c>
    </row>
    <row r="339" customFormat="false" ht="15" hidden="false" customHeight="false" outlineLevel="0" collapsed="false">
      <c r="A339" s="12" t="s">
        <v>1002</v>
      </c>
      <c r="B339" s="12" t="s">
        <v>878</v>
      </c>
      <c r="C339" s="12" t="s">
        <v>1003</v>
      </c>
      <c r="D339" s="12"/>
      <c r="E339" s="12" t="s">
        <v>358</v>
      </c>
    </row>
    <row r="340" customFormat="false" ht="15" hidden="false" customHeight="false" outlineLevel="0" collapsed="false">
      <c r="A340" s="12" t="s">
        <v>1004</v>
      </c>
      <c r="B340" s="12" t="s">
        <v>875</v>
      </c>
      <c r="C340" s="12" t="s">
        <v>1005</v>
      </c>
      <c r="D340" s="12" t="n">
        <v>36</v>
      </c>
      <c r="E340" s="12" t="s">
        <v>358</v>
      </c>
    </row>
    <row r="341" customFormat="false" ht="15" hidden="false" customHeight="false" outlineLevel="0" collapsed="false">
      <c r="A341" s="12" t="s">
        <v>1006</v>
      </c>
      <c r="B341" s="12" t="s">
        <v>390</v>
      </c>
      <c r="C341" s="12" t="s">
        <v>1007</v>
      </c>
      <c r="D341" s="12" t="n">
        <v>73</v>
      </c>
      <c r="E341" s="12" t="s">
        <v>358</v>
      </c>
    </row>
    <row r="342" customFormat="false" ht="15" hidden="false" customHeight="false" outlineLevel="0" collapsed="false">
      <c r="A342" s="12" t="s">
        <v>1008</v>
      </c>
      <c r="B342" s="12" t="s">
        <v>647</v>
      </c>
      <c r="C342" s="12" t="s">
        <v>1009</v>
      </c>
      <c r="D342" s="12" t="n">
        <v>33</v>
      </c>
      <c r="E342" s="12" t="s">
        <v>358</v>
      </c>
    </row>
    <row r="343" customFormat="false" ht="15" hidden="false" customHeight="false" outlineLevel="0" collapsed="false">
      <c r="A343" s="12" t="s">
        <v>1010</v>
      </c>
      <c r="B343" s="12" t="s">
        <v>647</v>
      </c>
      <c r="C343" s="12" t="s">
        <v>1011</v>
      </c>
      <c r="D343" s="12" t="n">
        <v>35</v>
      </c>
      <c r="E343" s="12" t="s">
        <v>358</v>
      </c>
    </row>
    <row r="344" customFormat="false" ht="15" hidden="false" customHeight="false" outlineLevel="0" collapsed="false">
      <c r="A344" s="12" t="s">
        <v>1012</v>
      </c>
      <c r="B344" s="12" t="s">
        <v>1013</v>
      </c>
      <c r="C344" s="12" t="s">
        <v>1014</v>
      </c>
      <c r="D344" s="12" t="n">
        <v>107</v>
      </c>
      <c r="E344" s="12" t="s">
        <v>358</v>
      </c>
    </row>
    <row r="345" customFormat="false" ht="15" hidden="false" customHeight="false" outlineLevel="0" collapsed="false">
      <c r="A345" s="12" t="s">
        <v>1015</v>
      </c>
      <c r="B345" s="12" t="s">
        <v>816</v>
      </c>
      <c r="C345" s="12" t="s">
        <v>1016</v>
      </c>
      <c r="D345" s="12" t="n">
        <v>71</v>
      </c>
      <c r="E345" s="12" t="s">
        <v>358</v>
      </c>
    </row>
    <row r="346" customFormat="false" ht="15" hidden="false" customHeight="false" outlineLevel="0" collapsed="false">
      <c r="A346" s="12" t="s">
        <v>1017</v>
      </c>
      <c r="B346" s="12" t="s">
        <v>647</v>
      </c>
      <c r="C346" s="12" t="s">
        <v>1018</v>
      </c>
      <c r="D346" s="12" t="n">
        <v>25</v>
      </c>
      <c r="E346" s="12" t="s">
        <v>358</v>
      </c>
    </row>
    <row r="347" customFormat="false" ht="15" hidden="false" customHeight="false" outlineLevel="0" collapsed="false">
      <c r="A347" s="12" t="s">
        <v>1019</v>
      </c>
      <c r="B347" s="12" t="s">
        <v>875</v>
      </c>
      <c r="C347" s="12" t="s">
        <v>1020</v>
      </c>
      <c r="D347" s="12" t="n">
        <v>99</v>
      </c>
      <c r="E347" s="12" t="s">
        <v>358</v>
      </c>
    </row>
    <row r="348" customFormat="false" ht="15" hidden="false" customHeight="false" outlineLevel="0" collapsed="false">
      <c r="A348" s="12" t="s">
        <v>1021</v>
      </c>
      <c r="B348" s="12" t="s">
        <v>341</v>
      </c>
      <c r="C348" s="12"/>
      <c r="D348" s="12"/>
      <c r="E348" s="12" t="s">
        <v>493</v>
      </c>
    </row>
    <row r="349" customFormat="false" ht="15" hidden="false" customHeight="false" outlineLevel="0" collapsed="false">
      <c r="A349" s="12" t="s">
        <v>1022</v>
      </c>
      <c r="B349" s="12" t="s">
        <v>781</v>
      </c>
      <c r="C349" s="12" t="s">
        <v>1023</v>
      </c>
      <c r="D349" s="12" t="n">
        <v>91</v>
      </c>
      <c r="E349" s="12" t="s">
        <v>358</v>
      </c>
    </row>
    <row r="350" customFormat="false" ht="15" hidden="false" customHeight="false" outlineLevel="0" collapsed="false">
      <c r="A350" s="12" t="s">
        <v>1024</v>
      </c>
      <c r="B350" s="12" t="s">
        <v>366</v>
      </c>
      <c r="C350" s="12" t="s">
        <v>1025</v>
      </c>
      <c r="D350" s="12" t="n">
        <v>153</v>
      </c>
      <c r="E350" s="12" t="s">
        <v>358</v>
      </c>
    </row>
    <row r="351" customFormat="false" ht="15" hidden="false" customHeight="false" outlineLevel="0" collapsed="false">
      <c r="A351" s="12" t="s">
        <v>1026</v>
      </c>
      <c r="B351" s="12" t="s">
        <v>1027</v>
      </c>
      <c r="C351" s="12" t="s">
        <v>1028</v>
      </c>
      <c r="D351" s="12" t="n">
        <v>2654</v>
      </c>
      <c r="E351" s="12" t="s">
        <v>358</v>
      </c>
    </row>
    <row r="352" customFormat="false" ht="15" hidden="false" customHeight="false" outlineLevel="0" collapsed="false">
      <c r="A352" s="12" t="s">
        <v>1029</v>
      </c>
      <c r="B352" s="12" t="s">
        <v>369</v>
      </c>
      <c r="C352" s="12" t="s">
        <v>1030</v>
      </c>
      <c r="D352" s="12" t="n">
        <v>482</v>
      </c>
      <c r="E352" s="12" t="s">
        <v>358</v>
      </c>
    </row>
    <row r="353" customFormat="false" ht="15" hidden="false" customHeight="false" outlineLevel="0" collapsed="false">
      <c r="A353" s="12" t="s">
        <v>1031</v>
      </c>
      <c r="B353" s="12" t="s">
        <v>1032</v>
      </c>
      <c r="C353" s="12" t="s">
        <v>1033</v>
      </c>
      <c r="D353" s="12" t="n">
        <v>238</v>
      </c>
      <c r="E353" s="12" t="s">
        <v>358</v>
      </c>
    </row>
    <row r="354" customFormat="false" ht="15" hidden="false" customHeight="false" outlineLevel="0" collapsed="false">
      <c r="A354" s="12" t="s">
        <v>1034</v>
      </c>
      <c r="B354" s="12" t="s">
        <v>390</v>
      </c>
      <c r="C354" s="12"/>
      <c r="D354" s="12" t="n">
        <v>42</v>
      </c>
      <c r="E354" s="12" t="s">
        <v>358</v>
      </c>
    </row>
    <row r="355" customFormat="false" ht="15" hidden="false" customHeight="false" outlineLevel="0" collapsed="false">
      <c r="A355" s="12" t="s">
        <v>1035</v>
      </c>
      <c r="B355" s="12" t="s">
        <v>816</v>
      </c>
      <c r="C355" s="12" t="s">
        <v>1036</v>
      </c>
      <c r="D355" s="12"/>
      <c r="E355" s="12" t="s">
        <v>358</v>
      </c>
    </row>
    <row r="356" customFormat="false" ht="15" hidden="false" customHeight="false" outlineLevel="0" collapsed="false">
      <c r="A356" s="12" t="s">
        <v>1037</v>
      </c>
      <c r="B356" s="12" t="s">
        <v>1038</v>
      </c>
      <c r="C356" s="12" t="s">
        <v>1039</v>
      </c>
      <c r="D356" s="12" t="n">
        <v>406</v>
      </c>
      <c r="E356" s="12" t="s">
        <v>358</v>
      </c>
    </row>
  </sheetData>
  <autoFilter ref="A1:E3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2026-08-28T20:44:18Z</dcterms:created>
  <dc:creator>openpyxl</dc:creator>
  <dc:description/>
  <dc:language>en-US</dc:language>
  <cp:lastModifiedBy/>
  <dcterms:modified xsi:type="dcterms:W3CDTF">2026-08-28T20:44:18Z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